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Client" sheetId="2" state="visible" r:id="rId4"/>
    <sheet name="Product &amp; Costs" sheetId="3" state="visible" r:id="rId5"/>
    <sheet name="Module Tech" sheetId="4" state="visible" r:id="rId6"/>
    <sheet name="Irradiance" sheetId="5" state="visible" r:id="rId7"/>
    <sheet name="Energy" sheetId="6" state="visible" r:id="rId8"/>
    <sheet name="Pilot BoQ" sheetId="7" state="visible" r:id="rId9"/>
    <sheet name="Pilot Economics" sheetId="8" state="visible" r:id="rId10"/>
    <sheet name="Rollout Economics" sheetId="9" state="visible" r:id="rId11"/>
    <sheet name="Comparison" sheetId="10" state="visible" r:id="rId12"/>
    <sheet name="Sensitivity" sheetId="11" state="visible" r:id="rId13"/>
    <sheet name="Scale-up" sheetId="12" state="visible" r:id="rId14"/>
    <sheet name="Scorecard" sheetId="13" state="visible" r:id="rId15"/>
    <sheet name="Sources &amp; Notes" sheetId="14" state="visible" r:id="rId16"/>
  </sheets>
  <definedNames>
    <definedName function="false" hidden="false" name="ADRate" vbProcedure="false">'Product &amp; Costs'!$C$80</definedName>
    <definedName function="false" hidden="false" name="ANN20" vbProcedure="false">Comparison!$H$26</definedName>
    <definedName function="false" hidden="false" name="BestMonth" vbProcedure="false">Energy!$D$28</definedName>
    <definedName function="false" hidden="false" name="BOSWp" vbProcedure="false">'Product &amp; Costs'!$C$54</definedName>
    <definedName function="false" hidden="false" name="BuildType" vbProcedure="false">Client!$C$23</definedName>
    <definedName function="false" hidden="false" name="CampusArea" vbProcedure="false">Client!$C$28</definedName>
    <definedName function="false" hidden="false" name="CarportOM" vbProcedure="false">'Product &amp; Costs'!$C$75</definedName>
    <definedName function="false" hidden="false" name="CarportWp" vbProcedure="false">'Product &amp; Costs'!$C$74</definedName>
    <definedName function="false" hidden="false" name="CivilNew" vbProcedure="false">'Product &amp; Costs'!$C$52</definedName>
    <definedName function="false" hidden="false" name="CivilOverlay" vbProcedure="false">'Product &amp; Costs'!$C$53</definedName>
    <definedName function="false" hidden="false" name="ClientEntity" vbProcedure="false">Client!$C$10</definedName>
    <definedName function="false" hidden="false" name="ClientName" vbProcedure="false">Client!$C$9</definedName>
    <definedName function="false" hidden="false" name="CMP_Capex_Carport" vbProcedure="false">Comparison!$D$8</definedName>
    <definedName function="false" hidden="false" name="CMP_Capex_ConvRoof" vbProcedure="false">Comparison!$E$8</definedName>
    <definedName function="false" hidden="false" name="CMP_Capex_Roof" vbProcedure="false">Comparison!$C$8</definedName>
    <definedName function="false" hidden="false" name="CMP_Capex_W" vbProcedure="false">Comparison!$B$8</definedName>
    <definedName function="false" hidden="false" name="CMP_NPV_Carport" vbProcedure="false">Comparison!$D$14</definedName>
    <definedName function="false" hidden="false" name="CMP_NPV_ConvRoof" vbProcedure="false">Comparison!$E$14</definedName>
    <definedName function="false" hidden="false" name="CMP_NPV_Roof" vbProcedure="false">Comparison!$C$14</definedName>
    <definedName function="false" hidden="false" name="CMP_NPV_W" vbProcedure="false">Comparison!$B$14</definedName>
    <definedName function="false" hidden="false" name="CMP_Payback_Carport" vbProcedure="false">Comparison!$D$13</definedName>
    <definedName function="false" hidden="false" name="CMP_Payback_ConvRoof" vbProcedure="false">Comparison!$E$13</definedName>
    <definedName function="false" hidden="false" name="CMP_Payback_Roof" vbProcedure="false">Comparison!$C$13</definedName>
    <definedName function="false" hidden="false" name="CMP_Payback_W" vbProcedure="false">Comparison!$B$13</definedName>
    <definedName function="false" hidden="false" name="CMP_PerKWp_Carport" vbProcedure="false">Comparison!$D$9</definedName>
    <definedName function="false" hidden="false" name="CMP_PerKWp_ConvRoof" vbProcedure="false">Comparison!$E$9</definedName>
    <definedName function="false" hidden="false" name="CMP_PerKWp_Roof" vbProcedure="false">Comparison!$C$9</definedName>
    <definedName function="false" hidden="false" name="CMP_PerKWp_W" vbProcedure="false">Comparison!$B$9</definedName>
    <definedName function="false" hidden="false" name="CoFund" vbProcedure="false">Client!$C$32</definedName>
    <definedName function="false" hidden="false" name="ConnKWp" vbProcedure="false">'Product &amp; Costs'!$C$56</definedName>
    <definedName function="false" hidden="false" name="ConvWalk" vbProcedure="false">'Product &amp; Costs'!$C$59</definedName>
    <definedName function="false" hidden="false" name="ConvWalkOM" vbProcedure="false">'Product &amp; Costs'!$C$76</definedName>
    <definedName function="false" hidden="false" name="Deg1" vbProcedure="false">'Product &amp; Costs'!$C$36</definedName>
    <definedName function="false" hidden="false" name="Degr" vbProcedure="false">'Product &amp; Costs'!$C$37</definedName>
    <definedName function="false" hidden="false" name="DesignLump" vbProcedure="false">'Product &amp; Costs'!$C$62</definedName>
    <definedName function="false" hidden="false" name="DiscRate" vbProcedure="false">Client!$C$33</definedName>
    <definedName function="false" hidden="false" name="EvalMonths" vbProcedure="false">Client!$C$35</definedName>
    <definedName function="false" hidden="false" name="GridEF" vbProcedure="false">'Product &amp; Costs'!$C$81</definedName>
    <definedName function="false" hidden="false" name="GridT1" vbProcedure="false">'Product &amp; Costs'!$C$48</definedName>
    <definedName function="false" hidden="false" name="GridT2" vbProcedure="false">'Product &amp; Costs'!$C$49</definedName>
    <definedName function="false" hidden="false" name="GridT3" vbProcedure="false">'Product &amp; Costs'!$C$50</definedName>
    <definedName function="false" hidden="false" name="GridT4" vbProcedure="false">'Product &amp; Costs'!$C$51</definedName>
    <definedName function="false" hidden="false" name="GSTRate" vbProcedure="false">'Product &amp; Costs'!$C$79</definedName>
    <definedName function="false" hidden="false" name="InstallM2" vbProcedure="false">'Product &amp; Costs'!$C$58</definedName>
    <definedName function="false" hidden="false" name="IntegLump" vbProcedure="false">'Product &amp; Costs'!$C$55</definedName>
    <definedName function="false" hidden="false" name="InvRepl" vbProcedure="false">'Product &amp; Costs'!$C$39</definedName>
    <definedName function="false" hidden="false" name="InvYear" vbProcedure="false">'Product &amp; Costs'!$C$40</definedName>
    <definedName function="false" hidden="false" name="IoTPkg" vbProcedure="false">'Product &amp; Costs'!$C$66</definedName>
    <definedName function="false" hidden="false" name="IrrCity" vbProcedure="false">Client!$C$13</definedName>
    <definedName function="false" hidden="false" name="KWhPerM2" vbProcedure="false">Energy!$F$23</definedName>
    <definedName function="false" hidden="false" name="KWhPerM2Day" vbProcedure="false">Energy!$D$27</definedName>
    <definedName function="false" hidden="false" name="Life" vbProcedure="false">'Product &amp; Costs'!$C$38</definedName>
    <definedName function="false" hidden="false" name="LogPct" vbProcedure="false">'Product &amp; Costs'!$C$57</definedName>
    <definedName function="false" hidden="false" name="LossAvail" vbProcedure="false">'Product &amp; Costs'!$C$33</definedName>
    <definedName function="false" hidden="false" name="LossFoot" vbProcedure="false">'Product &amp; Costs'!$C$29</definedName>
    <definedName function="false" hidden="false" name="LossInv" vbProcedure="false">'Product &amp; Costs'!$C$32</definedName>
    <definedName function="false" hidden="false" name="LossMism" vbProcedure="false">'Product &amp; Costs'!$C$31</definedName>
    <definedName function="false" hidden="false" name="LossRefl" vbProcedure="false">'Product &amp; Costs'!$C$30</definedName>
    <definedName function="false" hidden="false" name="LossSoil" vbProcedure="false">'Product &amp; Costs'!$C$28</definedName>
    <definedName function="false" hidden="false" name="LossTemp" vbProcedure="false">'Product &amp; Costs'!$C$27</definedName>
    <definedName function="false" hidden="false" name="ManDay" vbProcedure="false">'Product &amp; Costs'!$C$64</definedName>
    <definedName function="false" hidden="false" name="MLPExtra" vbProcedure="false">'Product &amp; Costs'!$C$47</definedName>
    <definedName function="false" hidden="false" name="ModArea" vbProcedure="false">'Product &amp; Costs'!$C$12</definedName>
    <definedName function="false" hidden="false" name="ModEff" vbProcedure="false">'Product &amp; Costs'!$C$22</definedName>
    <definedName function="false" hidden="false" name="ModL" vbProcedure="false">'Product &amp; Costs'!$C$10</definedName>
    <definedName function="false" hidden="false" name="ModPerM2" vbProcedure="false">'Product &amp; Costs'!$C$9</definedName>
    <definedName function="false" hidden="false" name="ModW" vbProcedure="false">'Product &amp; Costs'!$C$20</definedName>
    <definedName function="false" hidden="false" name="ModWBasis" vbProcedure="false">'Product &amp; Costs'!$C$8</definedName>
    <definedName function="false" hidden="false" name="ModWd" vbProcedure="false">'Product &amp; Costs'!$C$11</definedName>
    <definedName function="false" hidden="false" name="ModWTech" vbProcedure="false">'Product &amp; Costs'!$C$19</definedName>
    <definedName function="false" hidden="false" name="MonitorMonths" vbProcedure="false">Client!$C$36</definedName>
    <definedName function="false" hidden="false" name="OMPct" vbProcedure="false">'Product &amp; Costs'!$C$41</definedName>
    <definedName function="false" hidden="false" name="PE_Cum20" vbProcedure="false">'Pilot Economics'!$E$41</definedName>
    <definedName function="false" hidden="false" name="PE_DPayback" vbProcedure="false">'Pilot Economics'!$E$38</definedName>
    <definedName function="false" hidden="false" name="PE_IRR" vbProcedure="false">'Pilot Economics'!$E$40</definedName>
    <definedName function="false" hidden="false" name="PE_NPV" vbProcedure="false">'Pilot Economics'!$E$39</definedName>
    <definedName function="false" hidden="false" name="PE_OM1" vbProcedure="false">'Pilot Economics'!$E$36</definedName>
    <definedName function="false" hidden="false" name="PE_Payback" vbProcedure="false">'Pilot Economics'!$E$37</definedName>
    <definedName function="false" hidden="false" name="PE_Save1" vbProcedure="false">'Pilot Economics'!$E$35</definedName>
    <definedName function="false" hidden="false" name="PF_Cum20" vbProcedure="false">'Pilot Economics'!$E$77</definedName>
    <definedName function="false" hidden="false" name="PF_IRR" vbProcedure="false">'Pilot Economics'!$E$76</definedName>
    <definedName function="false" hidden="false" name="PF_NPV" vbProcedure="false">'Pilot Economics'!$E$75</definedName>
    <definedName function="false" hidden="false" name="PF_Payback" vbProcedure="false">'Pilot Economics'!$E$73</definedName>
    <definedName function="false" hidden="false" name="Phase2Area" vbProcedure="false">Client!$C$27</definedName>
    <definedName function="false" hidden="false" name="PilotArea" vbProcedure="false">Client!$C$26</definedName>
    <definedName function="false" hidden="false" name="PilotCO2kg" vbProcedure="false">Energy!$D$30</definedName>
    <definedName function="false" hidden="false" name="PilotContrib" vbProcedure="false">'Pilot BoQ'!$F$17</definedName>
    <definedName function="false" hidden="false" name="PilotContribPct" vbProcedure="false">'Pilot BoQ'!$G$27</definedName>
    <definedName function="false" hidden="false" name="PilotKWh1" vbProcedure="false">Energy!$E$23</definedName>
    <definedName function="false" hidden="false" name="PilotKWhDay" vbProcedure="false">Energy!$G$23</definedName>
    <definedName function="false" hidden="false" name="PilotKWp" vbProcedure="false">Energy!$D$7</definedName>
    <definedName function="false" hidden="false" name="PilotL" vbProcedure="false">Client!$C$24</definedName>
    <definedName function="false" hidden="false" name="PilotList" vbProcedure="false">'Pilot BoQ'!$E$17</definedName>
    <definedName function="false" hidden="false" name="PilotModules" vbProcedure="false">Energy!$D$6</definedName>
    <definedName function="false" hidden="false" name="PilotPays" vbProcedure="false">'Pilot BoQ'!$G$17</definedName>
    <definedName function="false" hidden="false" name="PilotPaysGST" vbProcedure="false">'Pilot BoQ'!$G$19</definedName>
    <definedName function="false" hidden="false" name="PilotPaysSqft" vbProcedure="false">'Pilot BoQ'!$G$26</definedName>
    <definedName function="false" hidden="false" name="PilotPhys" vbProcedure="false">'Pilot BoQ'!$G$22</definedName>
    <definedName function="false" hidden="false" name="PilotPhysKWp" vbProcedure="false">'Pilot BoQ'!$G$25</definedName>
    <definedName function="false" hidden="false" name="PilotPhysM2" vbProcedure="false">'Pilot BoQ'!$G$24</definedName>
    <definedName function="false" hidden="false" name="PilotPhysSqft" vbProcedure="false">'Pilot BoQ'!$G$23</definedName>
    <definedName function="false" hidden="false" name="PilotPPkg" vbProcedure="false">Energy!$D$31</definedName>
    <definedName function="false" hidden="false" name="PilotW" vbProcedure="false">Client!$C$25</definedName>
    <definedName function="false" hidden="false" name="PlasticLW" vbProcedure="false">'Product &amp; Costs'!$C$82</definedName>
    <definedName function="false" hidden="false" name="PortfolioArea" vbProcedure="false">Client!$C$29</definedName>
    <definedName function="false" hidden="false" name="PowerBasis" vbProcedure="false">'Product &amp; Costs'!$C$7</definedName>
    <definedName function="false" hidden="false" name="PowerDens" vbProcedure="false">'Product &amp; Costs'!$C$21</definedName>
    <definedName function="false" hidden="false" name="PR" vbProcedure="false">'Product &amp; Costs'!$C$34</definedName>
    <definedName function="false" hidden="false" name="PreparedBy" vbProcedure="false">Client!$C$38</definedName>
    <definedName function="false" hidden="false" name="PropDate" vbProcedure="false">Client!$C$37</definedName>
    <definedName function="false" hidden="false" name="PVF_R" vbProcedure="false">Comparison!$I$25</definedName>
    <definedName function="false" hidden="false" name="PVF_W" vbProcedure="false">Comparison!$H$25</definedName>
    <definedName function="false" hidden="false" name="PVPilot" vbProcedure="false">'Product &amp; Costs'!$C$44</definedName>
    <definedName function="false" hidden="false" name="PVPilotSqft" vbProcedure="false">'Pilot BoQ'!$G$28</definedName>
    <definedName function="false" hidden="false" name="PVScale" vbProcedure="false">'Product &amp; Costs'!$C$45</definedName>
    <definedName function="false" hidden="false" name="RoofDegr" vbProcedure="false">'Product &amp; Costs'!$C$72</definedName>
    <definedName function="false" hidden="false" name="RoofDens" vbProcedure="false">'Product &amp; Costs'!$C$70</definedName>
    <definedName function="false" hidden="false" name="RoofOM" vbProcedure="false">'Product &amp; Costs'!$C$73</definedName>
    <definedName function="false" hidden="false" name="RoofPR" vbProcedure="false">'Product &amp; Costs'!$C$71</definedName>
    <definedName function="false" hidden="false" name="RoofWp" vbProcedure="false">'Product &amp; Costs'!$C$69</definedName>
    <definedName function="false" hidden="false" name="RO_Area" vbProcedure="false">'Rollout Economics'!$H$5</definedName>
    <definedName function="false" hidden="false" name="RO_BOS" vbProcedure="false">'Rollout Economics'!$H$10</definedName>
    <definedName function="false" hidden="false" name="RO_Capex" vbProcedure="false">'Rollout Economics'!$H$18</definedName>
    <definedName function="false" hidden="false" name="RO_Civil" vbProcedure="false">'Rollout Economics'!$H$7</definedName>
    <definedName function="false" hidden="false" name="RO_CostM2" vbProcedure="false">'Rollout Economics'!$H$14</definedName>
    <definedName function="false" hidden="false" name="RO_CostSqft" vbProcedure="false">'Rollout Economics'!$H$15</definedName>
    <definedName function="false" hidden="false" name="RO_Credit" vbProcedure="false">'Rollout Economics'!$H$16</definedName>
    <definedName function="false" hidden="false" name="RO_Cum20" vbProcedure="false">'Rollout Economics'!$E$55</definedName>
    <definedName function="false" hidden="false" name="RO_DPayback" vbProcedure="false">'Rollout Economics'!$E$52</definedName>
    <definedName function="false" hidden="false" name="RO_Gen1" vbProcedure="false">'Rollout Economics'!$H$20</definedName>
    <definedName function="false" hidden="false" name="RO_Grid" vbProcedure="false">'Rollout Economics'!$H$8</definedName>
    <definedName function="false" hidden="false" name="RO_Inst" vbProcedure="false">'Rollout Economics'!$H$13</definedName>
    <definedName function="false" hidden="false" name="RO_Integ" vbProcedure="false">'Rollout Economics'!$H$12</definedName>
    <definedName function="false" hidden="false" name="RO_IRR" vbProcedure="false">'Rollout Economics'!$E$54</definedName>
    <definedName function="false" hidden="false" name="RO_IRRAT" vbProcedure="false">'Rollout Economics'!$E$82</definedName>
    <definedName function="false" hidden="false" name="RO_KWp" vbProcedure="false">'Rollout Economics'!$H$6</definedName>
    <definedName function="false" hidden="false" name="RO_LCOE" vbProcedure="false">'Rollout Economics'!$E$83</definedName>
    <definedName function="false" hidden="false" name="RO_Log" vbProcedure="false">'Rollout Economics'!$H$11</definedName>
    <definedName function="false" hidden="false" name="RO_NetCapex" vbProcedure="false">'Rollout Economics'!$H$19</definedName>
    <definedName function="false" hidden="false" name="RO_NetM2" vbProcedure="false">'Rollout Economics'!$H$17</definedName>
    <definedName function="false" hidden="false" name="RO_NPV" vbProcedure="false">'Rollout Economics'!$E$53</definedName>
    <definedName function="false" hidden="false" name="RO_OM1" vbProcedure="false">'Rollout Economics'!$E$50</definedName>
    <definedName function="false" hidden="false" name="RO_Payback" vbProcedure="false">'Rollout Economics'!$E$51</definedName>
    <definedName function="false" hidden="false" name="RO_PerKWp" vbProcedure="false">'Rollout Economics'!$H$21</definedName>
    <definedName function="false" hidden="false" name="RO_PV" vbProcedure="false">'Rollout Economics'!$H$9</definedName>
    <definedName function="false" hidden="false" name="RO_Save1" vbProcedure="false">'Rollout Economics'!$E$49</definedName>
    <definedName function="false" hidden="false" name="ScaleFrom" vbProcedure="false">'Product &amp; Costs'!$C$46</definedName>
    <definedName function="false" hidden="false" name="Scenario" vbProcedure="false">Client!$C$5</definedName>
    <definedName function="false" hidden="false" name="ScnIdx" vbProcedure="false">Client!$C$6</definedName>
    <definedName function="false" hidden="false" name="SC_CO2_Campus" vbProcedure="false">'Scale-up'!$D$9</definedName>
    <definedName function="false" hidden="false" name="SC_CO2_P2" vbProcedure="false">'Scale-up'!$C$9</definedName>
    <definedName function="false" hidden="false" name="SC_CO2_Pilot" vbProcedure="false">'Scale-up'!$B$9</definedName>
    <definedName function="false" hidden="false" name="SC_CO2_Port" vbProcedure="false">'Scale-up'!$E$9</definedName>
    <definedName function="false" hidden="false" name="SC_Cost_Campus" vbProcedure="false">'Scale-up'!$D$11</definedName>
    <definedName function="false" hidden="false" name="SC_Cost_P2" vbProcedure="false">'Scale-up'!$C$11</definedName>
    <definedName function="false" hidden="false" name="SC_Cost_Pilot" vbProcedure="false">'Scale-up'!$B$11</definedName>
    <definedName function="false" hidden="false" name="SC_Cost_Port" vbProcedure="false">'Scale-up'!$E$11</definedName>
    <definedName function="false" hidden="false" name="SC_KWp_Campus" vbProcedure="false">'Scale-up'!$D$6</definedName>
    <definedName function="false" hidden="false" name="SC_KWp_P2" vbProcedure="false">'Scale-up'!$C$6</definedName>
    <definedName function="false" hidden="false" name="SC_KWp_Pilot" vbProcedure="false">'Scale-up'!$B$6</definedName>
    <definedName function="false" hidden="false" name="SC_KWp_Port" vbProcedure="false">'Scale-up'!$E$6</definedName>
    <definedName function="false" hidden="false" name="SC_MWh_Campus" vbProcedure="false">'Scale-up'!$D$7</definedName>
    <definedName function="false" hidden="false" name="SC_MWh_P2" vbProcedure="false">'Scale-up'!$C$7</definedName>
    <definedName function="false" hidden="false" name="SC_MWh_Pilot" vbProcedure="false">'Scale-up'!$B$7</definedName>
    <definedName function="false" hidden="false" name="SC_MWh_Port" vbProcedure="false">'Scale-up'!$E$7</definedName>
    <definedName function="false" hidden="false" name="SC_Payback_Campus" vbProcedure="false">'Scale-up'!$D$13</definedName>
    <definedName function="false" hidden="false" name="SC_Payback_P2" vbProcedure="false">'Scale-up'!$C$13</definedName>
    <definedName function="false" hidden="false" name="SC_Payback_Pilot" vbProcedure="false">'Scale-up'!$B$13</definedName>
    <definedName function="false" hidden="false" name="SC_Payback_Port" vbProcedure="false">'Scale-up'!$E$13</definedName>
    <definedName function="false" hidden="false" name="SC_Save_Campus" vbProcedure="false">'Scale-up'!$D$8</definedName>
    <definedName function="false" hidden="false" name="SC_Save_P2" vbProcedure="false">'Scale-up'!$C$8</definedName>
    <definedName function="false" hidden="false" name="SC_Save_Pilot" vbProcedure="false">'Scale-up'!$B$8</definedName>
    <definedName function="false" hidden="false" name="SC_Save_Port" vbProcedure="false">'Scale-up'!$E$8</definedName>
    <definedName function="false" hidden="false" name="ShadeLoss" vbProcedure="false">Client!$C$20</definedName>
    <definedName function="false" hidden="false" name="SiteCity" vbProcedure="false">Client!$C$12</definedName>
    <definedName function="false" hidden="false" name="SiteName" vbProcedure="false">Client!$C$11</definedName>
    <definedName function="false" hidden="false" name="SpecYield" vbProcedure="false">Energy!$D$26</definedName>
    <definedName function="false" hidden="false" name="SunYear" vbProcedure="false">Energy!$D$23</definedName>
    <definedName function="false" hidden="false" name="SupDays" vbProcedure="false">'Product &amp; Costs'!$C$63</definedName>
    <definedName function="false" hidden="false" name="SurfEff" vbProcedure="false">'Product &amp; Costs'!$C$23</definedName>
    <definedName function="false" hidden="false" name="Tariff" vbProcedure="false">Client!$C$18</definedName>
    <definedName function="false" hidden="false" name="TariffCat" vbProcedure="false">Client!$C$15</definedName>
    <definedName function="false" hidden="false" name="TariffEsc" vbProcedure="false">Client!$C$19</definedName>
    <definedName function="false" hidden="false" name="TaxRate" vbProcedure="false">Client!$C$34</definedName>
    <definedName function="false" hidden="false" name="Tcell" vbProcedure="false">'Product &amp; Costs'!$C$26</definedName>
    <definedName function="false" hidden="false" name="TC_PR_0" vbProcedure="false">'Module Tech'!$D$13</definedName>
    <definedName function="false" hidden="false" name="TC_PR_1" vbProcedure="false">'Module Tech'!$D$14</definedName>
    <definedName function="false" hidden="false" name="TC_PR_2" vbProcedure="false">'Module Tech'!$D$15</definedName>
    <definedName function="false" hidden="false" name="TC_TL_0" vbProcedure="false">'Module Tech'!$C$13</definedName>
    <definedName function="false" hidden="false" name="TC_TL_1" vbProcedure="false">'Module Tech'!$C$14</definedName>
    <definedName function="false" hidden="false" name="TC_TL_2" vbProcedure="false">'Module Tech'!$C$15</definedName>
    <definedName function="false" hidden="false" name="TC_WM2_0" vbProcedure="false">'Module Tech'!$I$13</definedName>
    <definedName function="false" hidden="false" name="TC_WM2_1" vbProcedure="false">'Module Tech'!$I$14</definedName>
    <definedName function="false" hidden="false" name="TC_WM2_2" vbProcedure="false">'Module Tech'!$I$15</definedName>
    <definedName function="false" hidden="false" name="TC_Y1_0" vbProcedure="false">'Module Tech'!$F$13</definedName>
    <definedName function="false" hidden="false" name="TC_Y1_1" vbProcedure="false">'Module Tech'!$F$14</definedName>
    <definedName function="false" hidden="false" name="TC_Y1_2" vbProcedure="false">'Module Tech'!$F$15</definedName>
    <definedName function="false" hidden="false" name="TC_Y20_0" vbProcedure="false">'Module Tech'!$G$13</definedName>
    <definedName function="false" hidden="false" name="TC_Y20_1" vbProcedure="false">'Module Tech'!$G$14</definedName>
    <definedName function="false" hidden="false" name="TC_Y20_2" vbProcedure="false">'Module Tech'!$G$15</definedName>
    <definedName function="false" hidden="false" name="TechCellEff" vbProcedure="false">'Product &amp; Costs'!$C$13</definedName>
    <definedName function="false" hidden="false" name="TechDeg1" vbProcedure="false">'Product &amp; Costs'!$C$16</definedName>
    <definedName function="false" hidden="false" name="TechDegAnn" vbProcedure="false">'Product &amp; Costs'!$C$17</definedName>
    <definedName function="false" hidden="false" name="TechModEff" vbProcedure="false">'Product &amp; Costs'!$C$14</definedName>
    <definedName function="false" hidden="false" name="TechSel" vbProcedure="false">'Product &amp; Costs'!$C$6</definedName>
    <definedName function="false" hidden="false" name="TechTempCoef" vbProcedure="false">'Product &amp; Costs'!$C$15</definedName>
    <definedName function="false" hidden="false" name="TravelLump" vbProcedure="false">'Product &amp; Costs'!$C$65</definedName>
    <definedName function="false" hidden="false" name="Utility" vbProcedure="false">Client!$C$14</definedName>
    <definedName function="false" hidden="false" name="WalkPackLoss" vbProcedure="false">'Product &amp; Costs'!$C$18</definedName>
    <definedName function="false" hidden="false" name="WearAdder" vbProcedure="false">'Product &amp; Costs'!$C$35</definedName>
    <definedName function="false" hidden="false" name="WorstMonth" vbProcedure="false">Energy!$D$29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<sst xmlns="http://schemas.openxmlformats.org/spreadsheetml/2006/main" count="775" uniqueCount="568">
  <si>
    <t xml:space="preserve">GridMats® Solar Walkway</t>
  </si>
  <si>
    <t xml:space="preserve">Pilot and rollout cost-benefit model</t>
  </si>
  <si>
    <t xml:space="preserve">Prepared for</t>
  </si>
  <si>
    <t xml:space="preserve">Site</t>
  </si>
  <si>
    <t xml:space="preserve">Date / prepared by</t>
  </si>
  <si>
    <t xml:space="preserve">Scenario</t>
  </si>
  <si>
    <t xml:space="preserve">Headline results</t>
  </si>
  <si>
    <t xml:space="preserve">Pilot</t>
  </si>
  <si>
    <t xml:space="preserve">Pilot area (m²) / rated power (kWp)</t>
  </si>
  <si>
    <t xml:space="preserve">Generation in year 1 (kWh)</t>
  </si>
  <si>
    <t xml:space="preserve">Client pays, ex-GST (₹)</t>
  </si>
  <si>
    <t xml:space="preserve">GridMats contribution (₹)</t>
  </si>
  <si>
    <t xml:space="preserve">Pilot payback on the client's outlay (years)</t>
  </si>
  <si>
    <t xml:space="preserve">Campus rollout</t>
  </si>
  <si>
    <t xml:space="preserve">Rollout area (m²)</t>
  </si>
  <si>
    <t xml:space="preserve">Installed cost (₹/sq ft)</t>
  </si>
  <si>
    <t xml:space="preserve">Simple payback (years)</t>
  </si>
  <si>
    <t xml:space="preserve">IRR over 20 years</t>
  </si>
  <si>
    <t xml:space="preserve">Comparison (same footprint)</t>
  </si>
  <si>
    <t xml:space="preserve">Payback: walkway / rooftop / paver walkway + rooftop (years)</t>
  </si>
  <si>
    <t xml:space="preserve">How to use this template</t>
  </si>
  <si>
    <t xml:space="preserve">1. For a new client, change the yellow cells on 'Client' (or build from clients/&lt;id&gt;.json with build/build.sh). Nothing else needs editing.</t>
  </si>
  <si>
    <t xml:space="preserve">2. GridMats product prices and assumptions sit on 'Product &amp; Costs'; change them only when the price list or design basis changes.</t>
  </si>
  <si>
    <t xml:space="preserve">3. Pick the sunshine profile on 'Client'; replace the city row on 'Irradiance' with site data after the site assessment.</t>
  </si>
  <si>
    <t xml:space="preserve">4. Blue = input · yellow fill = key assumption to confirm · black = formula · green = link to another sheet.</t>
  </si>
  <si>
    <t xml:space="preserve">5. All money in ₹, ex-GST unless stated. The Solar Walkway is pre-commercial: yield, life and upkeep are estimates the pilot measures.</t>
  </si>
  <si>
    <t xml:space="preserve">Client and site: [Client]</t>
  </si>
  <si>
    <t xml:space="preserve">Everything that changes from one client to the next is on this sheet. Yellow cells are the ones to confirm first.</t>
  </si>
  <si>
    <t xml:space="preserve">Item</t>
  </si>
  <si>
    <t xml:space="preserve">Unit</t>
  </si>
  <si>
    <t xml:space="preserve">Value used</t>
  </si>
  <si>
    <t xml:space="preserve">Conservative</t>
  </si>
  <si>
    <t xml:space="preserve">Base</t>
  </si>
  <si>
    <t xml:space="preserve">Optimistic</t>
  </si>
  <si>
    <t xml:space="preserve">Source / note</t>
  </si>
  <si>
    <t xml:space="preserve">Scenario used across the model</t>
  </si>
  <si>
    <t xml:space="preserve">Switches performance ratio and degradation on 'Product &amp; Costs'.</t>
  </si>
  <si>
    <t xml:space="preserve">Scenario index</t>
  </si>
  <si>
    <t xml:space="preserve">1. Client and site</t>
  </si>
  <si>
    <t xml:space="preserve">Client (short name used on slides)</t>
  </si>
  <si>
    <t xml:space="preserve">text</t>
  </si>
  <si>
    <t xml:space="preserve">[Client]</t>
  </si>
  <si>
    <t xml:space="preserve">Shown on the cover and slides.</t>
  </si>
  <si>
    <t xml:space="preserve">Client legal entity</t>
  </si>
  <si>
    <t xml:space="preserve">[Client legal entity]</t>
  </si>
  <si>
    <t xml:space="preserve">Use the entity that will issue the PO.</t>
  </si>
  <si>
    <t xml:space="preserve">Campus / site</t>
  </si>
  <si>
    <t xml:space="preserve">[Campus or site name]</t>
  </si>
  <si>
    <t xml:space="preserve">Confirm at the site walk.</t>
  </si>
  <si>
    <t xml:space="preserve">City, state</t>
  </si>
  <si>
    <t xml:space="preserve">[City, State]</t>
  </si>
  <si>
    <t xml:space="preserve">Sunshine profile (city)</t>
  </si>
  <si>
    <t xml:space="preserve">choice</t>
  </si>
  <si>
    <t xml:space="preserve">Bengaluru</t>
  </si>
  <si>
    <t xml:space="preserve">Monthly sunshine from the 'Irradiance' sheet. Replace with site data after the site assessment.</t>
  </si>
  <si>
    <t xml:space="preserve">Electricity supplier</t>
  </si>
  <si>
    <t xml:space="preserve">[Electricity supplier]</t>
  </si>
  <si>
    <t xml:space="preserve">Tariff category</t>
  </si>
  <si>
    <t xml:space="preserve">[Tariff category, from the site's electricity bill]</t>
  </si>
  <si>
    <t xml:space="preserve">Confirm from the campus electricity bill.</t>
  </si>
  <si>
    <t xml:space="preserve">2. Power price and site losses</t>
  </si>
  <si>
    <t xml:space="preserve">Grid power cost avoided, year 1 (landed)</t>
  </si>
  <si>
    <t xml:space="preserve">₹ / kWh</t>
  </si>
  <si>
    <t xml:space="preserve">Placeholder: replace with the landed ₹/kWh from the site's electricity bill.</t>
  </si>
  <si>
    <t xml:space="preserve">Power tariff escalation</t>
  </si>
  <si>
    <t xml:space="preserve">% / yr</t>
  </si>
  <si>
    <t xml:space="preserve">Assumption.</t>
  </si>
  <si>
    <t xml:space="preserve">Site shading loss (trees, buildings)</t>
  </si>
  <si>
    <t xml:space="preserve">%</t>
  </si>
  <si>
    <t xml:space="preserve">Assumption until the site assessment measures it.</t>
  </si>
  <si>
    <t xml:space="preserve">3. Pilot and rollout size</t>
  </si>
  <si>
    <t xml:space="preserve">Build type</t>
  </si>
  <si>
    <t xml:space="preserve">New walkway</t>
  </si>
  <si>
    <t xml:space="preserve">'New walkway' builds the base and credits the paver walkway it replaces; 'Overlay on existing paving' levels the existing path and adds edge ramps.</t>
  </si>
  <si>
    <t xml:space="preserve">Pilot walkway length</t>
  </si>
  <si>
    <t xml:space="preserve">m</t>
  </si>
  <si>
    <t xml:space="preserve">Pilots are 20-25 m².</t>
  </si>
  <si>
    <t xml:space="preserve">Pilot walkway width</t>
  </si>
  <si>
    <t xml:space="preserve">Pilot area</t>
  </si>
  <si>
    <t xml:space="preserve">m²</t>
  </si>
  <si>
    <t xml:space="preserve">Length × width.</t>
  </si>
  <si>
    <t xml:space="preserve">Phase 2 area (after the pilot)</t>
  </si>
  <si>
    <t xml:space="preserve">Illustrative.</t>
  </si>
  <si>
    <t xml:space="preserve">Campus rollout area</t>
  </si>
  <si>
    <t xml:space="preserve">Used on 'Rollout Economics' and 'Comparison'.</t>
  </si>
  <si>
    <t xml:space="preserve">Portfolio area</t>
  </si>
  <si>
    <t xml:space="preserve">[Other sites] (illustrative)</t>
  </si>
  <si>
    <t xml:space="preserve">4. Commercial and finance</t>
  </si>
  <si>
    <t xml:space="preserve">GridMats co-funding of the pilot PV layer</t>
  </si>
  <si>
    <t xml:space="preserve">Pilot offer. Needs MD approval per pilot.</t>
  </si>
  <si>
    <t xml:space="preserve">Discount rate</t>
  </si>
  <si>
    <t xml:space="preserve">Client hurdle rate; 10% if not given.</t>
  </si>
  <si>
    <t xml:space="preserve">Client income-tax rate</t>
  </si>
  <si>
    <t xml:space="preserve">Section 115BAA rate; used for the after-tax view.</t>
  </si>
  <si>
    <t xml:space="preserve">Evaluation period before the rollout decision</t>
  </si>
  <si>
    <t xml:space="preserve">months</t>
  </si>
  <si>
    <t xml:space="preserve">Earlier Jio proposal letter: 3-month pilot evaluation.</t>
  </si>
  <si>
    <t xml:space="preserve">Monitoring period</t>
  </si>
  <si>
    <t xml:space="preserve">Covers one monsoon.</t>
  </si>
  <si>
    <t xml:space="preserve">Proposal date</t>
  </si>
  <si>
    <t xml:space="preserve">[Month Year]</t>
  </si>
  <si>
    <t xml:space="preserve">Prepared by</t>
  </si>
  <si>
    <t xml:space="preserve">GridMats (GroundReality Enterprises Pvt. Ltd.)</t>
  </si>
  <si>
    <t xml:space="preserve">GridMats Solar Walkway: product and cost assumptions</t>
  </si>
  <si>
    <t xml:space="preserve">Standard GridMats inputs, the same for every client. ₹ shown per sq ft first, then per m², ex-GST.</t>
  </si>
  <si>
    <t xml:space="preserve">Assumption</t>
  </si>
  <si>
    <t xml:space="preserve">1. Product: module technology and rated power</t>
  </si>
  <si>
    <t xml:space="preserve">Cell technology of the walkable module</t>
  </si>
  <si>
    <t xml:space="preserve">TOPCon (n-type)</t>
  </si>
  <si>
    <t xml:space="preserve">Pick from the 'Module Tech' library. Drives temperature loss and degradation; confirm with the module supplier's datasheet.</t>
  </si>
  <si>
    <t xml:space="preserve">Rated-power basis</t>
  </si>
  <si>
    <t xml:space="preserve">Design basis (40 W per module)</t>
  </si>
  <si>
    <t xml:space="preserve">Design basis = the MD-approved 40 W per module. 'Technology-derived' rates the module from its cell technology (upgrade path, to be validated).</t>
  </si>
  <si>
    <t xml:space="preserve">Design-basis module rated power</t>
  </si>
  <si>
    <t xml:space="preserve">Wp</t>
  </si>
  <si>
    <t xml:space="preserve">GridMats Solar Walkway flier (6 Oct 2026) and Client/Partner Deck v2.</t>
  </si>
  <si>
    <t xml:space="preserve">Modules per m² of walkway (one on each 500 × 500 mm grid)</t>
  </si>
  <si>
    <t xml:space="preserve">nos / m²</t>
  </si>
  <si>
    <t xml:space="preserve">Flier (6 Oct 2026): 4 grids per m².</t>
  </si>
  <si>
    <t xml:space="preserve">Module length</t>
  </si>
  <si>
    <t xml:space="preserve">mm</t>
  </si>
  <si>
    <t xml:space="preserve">Client/Partner Deck v2.</t>
  </si>
  <si>
    <t xml:space="preserve">Module width</t>
  </si>
  <si>
    <t xml:space="preserve">Module area</t>
  </si>
  <si>
    <t xml:space="preserve">Cell efficiency, mass production (selected technology)</t>
  </si>
  <si>
    <t xml:space="preserve">From 'Module Tech'.</t>
  </si>
  <si>
    <t xml:space="preserve">Standard module efficiency (selected technology)</t>
  </si>
  <si>
    <t xml:space="preserve">Temperature coefficient of power</t>
  </si>
  <si>
    <t xml:space="preserve">% / °C</t>
  </si>
  <si>
    <t xml:space="preserve">First-year degradation</t>
  </si>
  <si>
    <t xml:space="preserve">Annual degradation after year 1</t>
  </si>
  <si>
    <t xml:space="preserve">Walk-on build loss vs a standard module (thick textured glass, lower cell packing)</t>
  </si>
  <si>
    <t xml:space="preserve">Assumption for the technology-derived rating. The 40 W design basis implies about 23% on a 23.5% TOPCon module.</t>
  </si>
  <si>
    <t xml:space="preserve">Technology-derived module rating</t>
  </si>
  <si>
    <t xml:space="preserve">Module area × efficiency × (1 − walk-on loss).</t>
  </si>
  <si>
    <t xml:space="preserve">Module rated power used</t>
  </si>
  <si>
    <t xml:space="preserve">Per the rated-power basis above.</t>
  </si>
  <si>
    <t xml:space="preserve">Rated power of the walkway</t>
  </si>
  <si>
    <t xml:space="preserve">Wp / m²</t>
  </si>
  <si>
    <t xml:space="preserve">About 160 W/m² on the design basis (flier, 6 Oct 2026).</t>
  </si>
  <si>
    <t xml:space="preserve">Walkway module efficiency (check)</t>
  </si>
  <si>
    <t xml:space="preserve">Wp ÷ (module area × 1,000 W/m²).</t>
  </si>
  <si>
    <t xml:space="preserve">Surface efficiency of the walkway</t>
  </si>
  <si>
    <t xml:space="preserve">Flier: 15-16% surface efficiency.</t>
  </si>
  <si>
    <t xml:space="preserve">2. Performance: loss stack for flat, walk-on modules</t>
  </si>
  <si>
    <t xml:space="preserve">Irradiance-weighted cell temperature on the walkway</t>
  </si>
  <si>
    <t xml:space="preserve">°C</t>
  </si>
  <si>
    <t xml:space="preserve">Assumption. Pavement-integrated PV runs about 20 °C hotter than open-rack; GridMats' 50 mm gaps ventilate the modules.</t>
  </si>
  <si>
    <t xml:space="preserve">Temperature loss</t>
  </si>
  <si>
    <t xml:space="preserve">−temperature coefficient × (cell temperature − 25 °C).</t>
  </si>
  <si>
    <t xml:space="preserve">Soiling (flat surface, foot traffic; monthly cleaning)</t>
  </si>
  <si>
    <t xml:space="preserve">Horizontal modules soil about twice as fast as tilted ones; annual losses of 5-18% reported without frequent cleaning.</t>
  </si>
  <si>
    <t xml:space="preserve">Shading by people walking on it</t>
  </si>
  <si>
    <t xml:space="preserve">Assumption; depends on footfall at the chosen walkway.</t>
  </si>
  <si>
    <t xml:space="preserve">Reflection and angle losses (flat, textured glass)</t>
  </si>
  <si>
    <t xml:space="preserve">Mismatch and DC wiring</t>
  </si>
  <si>
    <t xml:space="preserve">Inverter</t>
  </si>
  <si>
    <t xml:space="preserve">Availability</t>
  </si>
  <si>
    <t xml:space="preserve">Performance ratio (product of the losses above)</t>
  </si>
  <si>
    <t xml:space="preserve">Earlier ROI model used a flat 78% (tilted C&amp;I). Field results for road- and walk-integrated PV have been about half of rooftop yield per m²; the conservative case reflects that.</t>
  </si>
  <si>
    <t xml:space="preserve">Extra degradation from walk-on use</t>
  </si>
  <si>
    <t xml:space="preserve">First-year degradation used</t>
  </si>
  <si>
    <t xml:space="preserve">Selected technology.</t>
  </si>
  <si>
    <t xml:space="preserve">Annual degradation used (technology + walk-on wear)</t>
  </si>
  <si>
    <t xml:space="preserve">Selected technology plus wear.</t>
  </si>
  <si>
    <t xml:space="preserve">Analysis horizon and module life</t>
  </si>
  <si>
    <t xml:space="preserve">years</t>
  </si>
  <si>
    <t xml:space="preserve">Earlier ROI model: 20 years. Tables are built for 20 years.</t>
  </si>
  <si>
    <t xml:space="preserve">Inverter replacement</t>
  </si>
  <si>
    <t xml:space="preserve">₹ / kWp</t>
  </si>
  <si>
    <t xml:space="preserve">Inverter replacement year</t>
  </si>
  <si>
    <t xml:space="preserve">year</t>
  </si>
  <si>
    <t xml:space="preserve">Annual O&amp;M (cleaning, inspection, minor repairs)</t>
  </si>
  <si>
    <t xml:space="preserve">% of capex / yr</t>
  </si>
  <si>
    <t xml:space="preserve">Earlier ROI model.</t>
  </si>
  <si>
    <t xml:space="preserve">3. Prices and costs (ex-GST)</t>
  </si>
  <si>
    <t xml:space="preserve">Walkable PV layer, pilot price (12 mm toughened glass, 40 W module, MLP lumber with wiring)</t>
  </si>
  <si>
    <t xml:space="preserve">₹ / m²</t>
  </si>
  <si>
    <t xml:space="preserve">GridMats pilot quote (Oct 2026): ₹9,500/m² = ₹883/sq ft. Earlier ROI model's input cell used ₹2,500/m², but its own benchmark sheet and the proposal letter say ₹9,500.</t>
  </si>
  <si>
    <t xml:space="preserve">Walkable PV layer, rollout price</t>
  </si>
  <si>
    <t xml:space="preserve">GridMats financials (Jul 2026): pricing range ₹8,000-9,000/m², midpoint ₹8,500 (= ₹790/sq ft).</t>
  </si>
  <si>
    <t xml:space="preserve">Rollout price applies from</t>
  </si>
  <si>
    <t xml:space="preserve">MLP lumber layer, if priced separately</t>
  </si>
  <si>
    <t xml:space="preserve">0 when included in the PV layer. Apr 2025 calculator priced MLP at ₹150-650/m².</t>
  </si>
  <si>
    <t xml:space="preserve">GridMats OC-LW 40 base grid, under 1,000 m²</t>
  </si>
  <si>
    <t xml:space="preserve">GridMats price ladder (25 Sep 2026): ₹64/sq ft.</t>
  </si>
  <si>
    <t xml:space="preserve">GridMats OC-LW 40, 1,000-2,500 m²</t>
  </si>
  <si>
    <t xml:space="preserve">₹60/sq ft.</t>
  </si>
  <si>
    <t xml:space="preserve">GridMats OC-LW 40, 2,500-5,000 m²</t>
  </si>
  <si>
    <t xml:space="preserve">₹58/sq ft.</t>
  </si>
  <si>
    <t xml:space="preserve">GridMats OC-LW 40, 5,000 m² and above</t>
  </si>
  <si>
    <t xml:space="preserve">₹55/sq ft.</t>
  </si>
  <si>
    <t xml:space="preserve">New-walkway base works (subgrade, 100 mm open-graded GSB, 20 mm bedding, edges)</t>
  </si>
  <si>
    <t xml:space="preserve">GridMats base table for pedestrian load; Design Engine 73 unit rates (60 + 160 + 36 + 12).</t>
  </si>
  <si>
    <t xml:space="preserve">Overlay on existing paving (levelling, edge ramps)</t>
  </si>
  <si>
    <t xml:space="preserve">Electrical BOS (inverter, cabling, combiner, protection)</t>
  </si>
  <si>
    <t xml:space="preserve">₹ / Wp</t>
  </si>
  <si>
    <t xml:space="preserve">Grid integration and metering, per connection point</t>
  </si>
  <si>
    <t xml:space="preserve">₹</t>
  </si>
  <si>
    <t xml:space="preserve">Earlier ROI model (pilot scale).</t>
  </si>
  <si>
    <t xml:space="preserve">kWp per connection point at rollout</t>
  </si>
  <si>
    <t xml:space="preserve">kWp</t>
  </si>
  <si>
    <t xml:space="preserve">Logistics and freight</t>
  </si>
  <si>
    <t xml:space="preserve">% of hardware</t>
  </si>
  <si>
    <t xml:space="preserve">Installation labour</t>
  </si>
  <si>
    <t xml:space="preserve">Earlier ROI model. Built by teams GridMats trains.</t>
  </si>
  <si>
    <t xml:space="preserve">Paver / concrete walkway it replaces (new build only)</t>
  </si>
  <si>
    <t xml:space="preserve">Earlier ROI model: ₹800-1,500/m² range.</t>
  </si>
  <si>
    <t xml:space="preserve">4. Pilot services (valued; offered free in the pilot)</t>
  </si>
  <si>
    <t xml:space="preserve">Site assessment, shading study and engineering</t>
  </si>
  <si>
    <t xml:space="preserve">Estimate of value.</t>
  </si>
  <si>
    <t xml:space="preserve">GridMats supervision and training on site</t>
  </si>
  <si>
    <t xml:space="preserve">days</t>
  </si>
  <si>
    <t xml:space="preserve">Standard: up to 3 days.</t>
  </si>
  <si>
    <t xml:space="preserve">Supervisor man-day rate</t>
  </si>
  <si>
    <t xml:space="preserve">₹ / day</t>
  </si>
  <si>
    <t xml:space="preserve">GridMats standard rate.</t>
  </si>
  <si>
    <t xml:space="preserve">Supervisor travel and stay</t>
  </si>
  <si>
    <t xml:space="preserve">Estimate; normally paid by the client.</t>
  </si>
  <si>
    <t xml:space="preserve">IoT sensors, live dashboard and performance study for the monitoring period</t>
  </si>
  <si>
    <t xml:space="preserve">Estimate of value: module-temperature and moisture sensors, reference cell, energy meter and logger, dashboard, reports.</t>
  </si>
  <si>
    <t xml:space="preserve">5. Comparison benchmarks</t>
  </si>
  <si>
    <t xml:space="preserve">C&amp;I rooftop solar, all-in</t>
  </si>
  <si>
    <t xml:space="preserve">Earlier ROI model cost stack (₹35-45/Wp).</t>
  </si>
  <si>
    <t xml:space="preserve">Rooftop / carport panel output per m² of panel</t>
  </si>
  <si>
    <t xml:space="preserve">19% efficient panels (earlier ROI model).</t>
  </si>
  <si>
    <t xml:space="preserve">Rooftop / carport performance ratio</t>
  </si>
  <si>
    <t xml:space="preserve">Rooftop / carport annual degradation</t>
  </si>
  <si>
    <t xml:space="preserve">Same cell technology as the walkway, without walk-on wear.</t>
  </si>
  <si>
    <t xml:space="preserve">Rooftop O&amp;M</t>
  </si>
  <si>
    <t xml:space="preserve">Solar carport / canopy, all-in</t>
  </si>
  <si>
    <t xml:space="preserve">Earlier ROI model (₹55-65/Wp).</t>
  </si>
  <si>
    <t xml:space="preserve">Carport O&amp;M</t>
  </si>
  <si>
    <t xml:space="preserve">Conventional walkway maintenance</t>
  </si>
  <si>
    <t xml:space="preserve">6. Tax and environment</t>
  </si>
  <si>
    <t xml:space="preserve">GST on a solar walkway system (composite)</t>
  </si>
  <si>
    <t xml:space="preserve">5% on solar goods from 22 Sep 2025 (Notification 9/2025-CT(R)) on 70% of value + 18% on 30% services = 8.9%. Earlier model used 13.8%. Input tax credit on captive solar allowed per Gujarat AAR (Jan 2024); confirm for the client.</t>
  </si>
  <si>
    <t xml:space="preserve">Accelerated depreciation on solar (WDV)</t>
  </si>
  <si>
    <t xml:space="preserve">Income-tax Act: 40% WDV.</t>
  </si>
  <si>
    <t xml:space="preserve">India grid emission factor</t>
  </si>
  <si>
    <t xml:space="preserve">t CO2 / MWh</t>
  </si>
  <si>
    <t xml:space="preserve">CEA CO2 Baseline Database v21.0 (FY2024-25).</t>
  </si>
  <si>
    <t xml:space="preserve">Recycled PP in the OC-LW 40 base</t>
  </si>
  <si>
    <t xml:space="preserve">kg / m²</t>
  </si>
  <si>
    <t xml:space="preserve">GridMats master data.</t>
  </si>
  <si>
    <t xml:space="preserve">Module technology library (2026)</t>
  </si>
  <si>
    <t xml:space="preserve">Pick the technology on 'Product &amp; Costs'. TOPCon is now the mainstream cell; PERC is being phased out; Reliance makes HJT modules at Jamnagar.</t>
  </si>
  <si>
    <t xml:space="preserve">Technology</t>
  </si>
  <si>
    <t xml:space="preserve">Cell efficiency (mass prod.)</t>
  </si>
  <si>
    <t xml:space="preserve">Best cells (2026)</t>
  </si>
  <si>
    <t xml:space="preserve">Module efficiency</t>
  </si>
  <si>
    <t xml:space="preserve">Temp. coefficient (%/°C)</t>
  </si>
  <si>
    <t xml:space="preserve">Year-1 degradation</t>
  </si>
  <si>
    <t xml:space="preserve">Annual degradation</t>
  </si>
  <si>
    <t xml:space="preserve">Module price, India (₹/Wp)</t>
  </si>
  <si>
    <t xml:space="preserve">Notes</t>
  </si>
  <si>
    <t xml:space="preserve">Sources</t>
  </si>
  <si>
    <t xml:space="preserve">Mono PERC (p-type)</t>
  </si>
  <si>
    <t xml:space="preserve">Mature; no longer advancing</t>
  </si>
  <si>
    <t xml:space="preserve">Being phased out; TOPCon premium over PERC has collapsed to about 0-10%.</t>
  </si>
  <si>
    <t xml:space="preserve">JMK Research Apr 2026 (ex-works, 500 Wp); 2026 technology comparisons.</t>
  </si>
  <si>
    <t xml:space="preserve">26.66% industrial M10 cell (JinkoSolar, Feb 2026); 27.79% lab cell (ISFH-certified)</t>
  </si>
  <si>
    <t xml:space="preserve">About two-thirds of global capacity; commercial modules 22.5-24.8%, best 25.91%. DCR TOPCon ₹22.3/Wp.</t>
  </si>
  <si>
    <t xml:space="preserve">pv-magazine (25 Feb 2026); taiyangnews; Canadian Solar TOPHiKu6 and Jinko Tiger Neo datasheets (−0.29%/°C, 1% then 0.4%/yr); JMK Apr 2026.</t>
  </si>
  <si>
    <t xml:space="preserve">HJT (n-type)</t>
  </si>
  <si>
    <t xml:space="preserve">Lowest temperature loss of the three</t>
  </si>
  <si>
    <t xml:space="preserve">premium</t>
  </si>
  <si>
    <t xml:space="preserve">Commercial modules 23-25%; price premium over TOPCon. Reliance produces HJT modules at Jamnagar.</t>
  </si>
  <si>
    <t xml:space="preserve">2026 technology comparisons (−0.24 to −0.26%/°C; 0.25-0.375%/yr).</t>
  </si>
  <si>
    <t xml:space="preserve">What each technology means for this walkway (selected scenario; pilot size, same rated power)</t>
  </si>
  <si>
    <t xml:space="preserve">Performance ratio</t>
  </si>
  <si>
    <t xml:space="preserve">Specific yield (kWh/kWp/yr)</t>
  </si>
  <si>
    <t xml:space="preserve">Pilot year-1 kWh</t>
  </si>
  <si>
    <t xml:space="preserve">Pilot 20-year kWh</t>
  </si>
  <si>
    <t xml:space="preserve">Technology-derived module (W)</t>
  </si>
  <si>
    <t xml:space="preserve">Walkway W/m² (derived)</t>
  </si>
  <si>
    <t xml:space="preserve">Reading</t>
  </si>
  <si>
    <t xml:space="preserve">PERC loses the most to heat on a hot, flat walkway.</t>
  </si>
  <si>
    <t xml:space="preserve">TOPCon: the default. Lower heat loss and slower ageing than PERC at a similar price.</t>
  </si>
  <si>
    <t xml:space="preserve">HJT: lowest heat loss; worth testing with Reliance's own Jamnagar cells.</t>
  </si>
  <si>
    <t xml:space="preserve">Pilot year-1 kWh includes first-year degradation. The derived module rating is an upgrade path to be validated; the client price is quoted on the 40 W design basis.</t>
  </si>
  <si>
    <t xml:space="preserve">Sunshine library: monthly global horizontal irradiance (kWh/m²/day)</t>
  </si>
  <si>
    <t xml:space="preserve">Pick the city on 'Client'. Values are typical-year climatology; replace with site data (Global Solar Atlas / NASA POWER) after the site walk.</t>
  </si>
  <si>
    <t xml:space="preserve">City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</si>
  <si>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</si>
  <si>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</si>
  <si>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</si>
  <si>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</si>
  <si>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</si>
  <si>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</si>
  <si>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</si>
  <si>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</si>
  <si>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</si>
  <si>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</si>
  <si>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</si>
  <si>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</si>
  <si>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kWh/m²/yr</t>
  </si>
  <si>
    <t xml:space="preserve">Avg / day</t>
  </si>
  <si>
    <t xml:space="preserve">Source and confidence</t>
  </si>
  <si>
    <t xml:space="preserve">Days in month</t>
  </si>
  <si>
    <t xml:space="preserve">Mumbai</t>
  </si>
  <si>
    <t xml:space="preserve">Calibrated to NASA-derived Navi Mumbai data (annual mean 5.16, Jan 4.74, Jul 3.68 kWh/m²/day) and Meteonorm 8.2 (1,814 kWh/m²/yr). Earlier ROI model: 5.3 average.</t>
  </si>
  <si>
    <t xml:space="preserve">Indicative typical year.</t>
  </si>
  <si>
    <t xml:space="preserve">Chennai</t>
  </si>
  <si>
    <t xml:space="preserve">Hyderabad</t>
  </si>
  <si>
    <t xml:space="preserve">Delhi NCR</t>
  </si>
  <si>
    <t xml:space="preserve">Pune</t>
  </si>
  <si>
    <t xml:space="preserve">Ahmedabad</t>
  </si>
  <si>
    <t xml:space="preserve">Jamnagar</t>
  </si>
  <si>
    <t xml:space="preserve">Kolkata</t>
  </si>
  <si>
    <t xml:space="preserve">Energy: what the walkway generates</t>
  </si>
  <si>
    <t xml:space="preserve">Monthly generation for the pilot at the chosen city, after performance ratio and site shading.</t>
  </si>
  <si>
    <t xml:space="preserve">Pilot size</t>
  </si>
  <si>
    <t xml:space="preserve">Pilot area (m²)</t>
  </si>
  <si>
    <t xml:space="preserve">Modules</t>
  </si>
  <si>
    <t xml:space="preserve">Rated power (kWp)</t>
  </si>
  <si>
    <t xml:space="preserve">Sunshine profile</t>
  </si>
  <si>
    <t xml:space="preserve">Month</t>
  </si>
  <si>
    <t xml:space="preserve">Days</t>
  </si>
  <si>
    <t xml:space="preserve">Sunshine (kWh/m²/day)</t>
  </si>
  <si>
    <t xml:space="preserve">Sunshine (kWh/m²/month)</t>
  </si>
  <si>
    <t xml:space="preserve">Pilot generation (kWh)</t>
  </si>
  <si>
    <t xml:space="preserve">Per m² (kWh)</t>
  </si>
  <si>
    <t xml:space="preserve">Per day (kWh)</t>
  </si>
  <si>
    <t xml:space="preserve">Year 1*</t>
  </si>
  <si>
    <t xml:space="preserve">* Before first-year degradation; the cash-flow sheets apply it.</t>
  </si>
  <si>
    <t xml:space="preserve">Key energy figures</t>
  </si>
  <si>
    <t xml:space="preserve">Specific yield (kWh per kWp per year)</t>
  </si>
  <si>
    <t xml:space="preserve">Generation per m² per day, average (kWh)</t>
  </si>
  <si>
    <t xml:space="preserve">Best month (kWh)</t>
  </si>
  <si>
    <t xml:space="preserve">Weakest month (kWh)</t>
  </si>
  <si>
    <t xml:space="preserve">CO2 avoided in year 1 (kg)</t>
  </si>
  <si>
    <t xml:space="preserve">Recycled PP in the pilot base (kg)</t>
  </si>
  <si>
    <t xml:space="preserve">Pilot bill of quantities and offer</t>
  </si>
  <si>
    <t xml:space="preserve">List = GridMats standard value. 'GridMats contributes' = what the pilot offer covers. Ex-GST unless stated.</t>
  </si>
  <si>
    <t xml:space="preserve">Qty</t>
  </si>
  <si>
    <t xml:space="preserve">Rate (₹)</t>
  </si>
  <si>
    <t xml:space="preserve">List value (₹)</t>
  </si>
  <si>
    <t xml:space="preserve">GridMats contributes (₹)</t>
  </si>
  <si>
    <t xml:space="preserve">Client pays (₹)</t>
  </si>
  <si>
    <t xml:space="preserve">Note</t>
  </si>
  <si>
    <t xml:space="preserve">Site assessment, shading study and engineering design</t>
  </si>
  <si>
    <t xml:space="preserve">lot</t>
  </si>
  <si>
    <t xml:space="preserve">Included</t>
  </si>
  <si>
    <t xml:space="preserve">Base works: new walkway (subgrade, open-graded GSB, bedding, edges) or overlay levelling and ramps</t>
  </si>
  <si>
    <t xml:space="preserve">GridMats OC-LW 40 structural base (100% recycled PP), 4 grids per m²</t>
  </si>
  <si>
    <t xml:space="preserve">Walkable PV layer: 40 W modules, 12 mm toughened glass, MLP lumber with wiring</t>
  </si>
  <si>
    <t xml:space="preserve">Co-funded by GridMats</t>
  </si>
  <si>
    <t xml:space="preserve">MLP lumber layer (only if priced separately)</t>
  </si>
  <si>
    <t xml:space="preserve">Electrical BOS: inverter, DC/AC cabling, protection, earthing</t>
  </si>
  <si>
    <t xml:space="preserve">Grid integration and metering</t>
  </si>
  <si>
    <t xml:space="preserve">Built by teams GridMats trains</t>
  </si>
  <si>
    <t xml:space="preserve">IoT sensors, live dashboard and performance study</t>
  </si>
  <si>
    <t xml:space="preserve">Total (ex-GST)</t>
  </si>
  <si>
    <t xml:space="preserve">GST on what the client pays</t>
  </si>
  <si>
    <t xml:space="preserve">Client pays, including GST</t>
  </si>
  <si>
    <t xml:space="preserve">Summary</t>
  </si>
  <si>
    <t xml:space="preserve">Physical installed cost of the pilot, list (hardware, logistics, integration, installation)</t>
  </si>
  <si>
    <t xml:space="preserve">Physical installed cost per sq ft (₹)</t>
  </si>
  <si>
    <t xml:space="preserve">Physical installed cost per m² (₹)</t>
  </si>
  <si>
    <t xml:space="preserve">Physical installed cost per kWp (₹)</t>
  </si>
  <si>
    <t xml:space="preserve">Client pays per sq ft, ex-GST (₹)</t>
  </si>
  <si>
    <t xml:space="preserve">GridMats contribution as a share of list</t>
  </si>
  <si>
    <t xml:space="preserve">PV layer price per sq ft, pilot (₹)</t>
  </si>
  <si>
    <t xml:space="preserve">Pilot economics</t>
  </si>
  <si>
    <t xml:space="preserve">Two views: on what the client actually pays (with GridMats co-funding), and on the full physical cost (no co-funding).</t>
  </si>
  <si>
    <t xml:space="preserve">Client's pilot outlay, ex-GST (₹)</t>
  </si>
  <si>
    <t xml:space="preserve">Full physical installed cost, ex-GST (₹)</t>
  </si>
  <si>
    <t xml:space="preserve">Year-1 generation (kWh)</t>
  </si>
  <si>
    <t xml:space="preserve">O&amp;M is charged on the physical installed cost in both views. GST is excluded on the assumption that the client claims input tax credit.</t>
  </si>
  <si>
    <t xml:space="preserve">A. On the client's outlay (pilot offer)</t>
  </si>
  <si>
    <t xml:space="preserve">Year</t>
  </si>
  <si>
    <t xml:space="preserve">Degradation factor</t>
  </si>
  <si>
    <t xml:space="preserve">Generation (kWh)</t>
  </si>
  <si>
    <t xml:space="preserve">Tariff (₹/kWh)</t>
  </si>
  <si>
    <t xml:space="preserve">Savings (₹)</t>
  </si>
  <si>
    <t xml:space="preserve">O&amp;M (₹)</t>
  </si>
  <si>
    <t xml:space="preserve">Inverter (₹)</t>
  </si>
  <si>
    <t xml:space="preserve">Net cash flow (₹)</t>
  </si>
  <si>
    <t xml:space="preserve">Cumulative (₹)</t>
  </si>
  <si>
    <t xml:space="preserve">Discount factor</t>
  </si>
  <si>
    <t xml:space="preserve">Discounted CF (₹)</t>
  </si>
  <si>
    <t xml:space="preserve">Cumulative discounted (₹)</t>
  </si>
  <si>
    <t xml:space="preserve">Results: client's outlay</t>
  </si>
  <si>
    <t xml:space="preserve">Year-1 savings (₹)</t>
  </si>
  <si>
    <t xml:space="preserve">Year-1 O&amp;M (₹)</t>
  </si>
  <si>
    <t xml:space="preserve">Discounted payback (years)</t>
  </si>
  <si>
    <t xml:space="preserve">NPV over 20 years (₹)</t>
  </si>
  <si>
    <t xml:space="preserve">20-year net cash (₹)</t>
  </si>
  <si>
    <t xml:space="preserve">Return on investment over 20 years (×)</t>
  </si>
  <si>
    <t xml:space="preserve">B. On the full physical installed cost (no co-funding)</t>
  </si>
  <si>
    <t xml:space="preserve">Results: full physical cost</t>
  </si>
  <si>
    <t xml:space="preserve">Rollout economics: campus walkway at rollout prices</t>
  </si>
  <si>
    <t xml:space="preserve">Uses the campus rollout area from 'Client'. No co-funding at rollout.</t>
  </si>
  <si>
    <t xml:space="preserve">Installed cost per m² at the rollout area</t>
  </si>
  <si>
    <t xml:space="preserve">Base works (₹/m²)</t>
  </si>
  <si>
    <t xml:space="preserve">GridMats OC-LW 40 at this area (₹/m²)</t>
  </si>
  <si>
    <t xml:space="preserve">Walkable PV layer (₹/m²)</t>
  </si>
  <si>
    <t xml:space="preserve">Electrical BOS (₹/m²)</t>
  </si>
  <si>
    <t xml:space="preserve">Logistics (₹/m²)</t>
  </si>
  <si>
    <t xml:space="preserve">Grid integration (₹/m²)</t>
  </si>
  <si>
    <t xml:space="preserve">Installation (₹/m²)</t>
  </si>
  <si>
    <t xml:space="preserve">Installed cost (₹/m²)</t>
  </si>
  <si>
    <t xml:space="preserve">Less: walkway it replaces (₹/m², new build only)</t>
  </si>
  <si>
    <t xml:space="preserve">Net extra cost for a generating walkway (₹/m²)</t>
  </si>
  <si>
    <t xml:space="preserve">Total installed cost (₹)</t>
  </si>
  <si>
    <t xml:space="preserve">Net investment after walkway credit (₹)</t>
  </si>
  <si>
    <t xml:space="preserve">Installed cost per kWp, solar part (₹)</t>
  </si>
  <si>
    <t xml:space="preserve">Results: campus rollout</t>
  </si>
  <si>
    <t xml:space="preserve">After-tax view with 40% accelerated depreciation on the solar part</t>
  </si>
  <si>
    <t xml:space="preserve">Opening WDV (₹)</t>
  </si>
  <si>
    <t xml:space="preserve">Depreciation (₹)</t>
  </si>
  <si>
    <t xml:space="preserve">Tax shield (₹)</t>
  </si>
  <si>
    <t xml:space="preserve">After-tax cash flow (₹)</t>
  </si>
  <si>
    <t xml:space="preserve">After-tax IRR</t>
  </si>
  <si>
    <t xml:space="preserve">Levelised cost of the walkway's power (₹/kWh)</t>
  </si>
  <si>
    <t xml:space="preserve">How it compares on the same footprint</t>
  </si>
  <si>
    <t xml:space="preserve">Rollout area from 'Client'. A replaces a walkway and generates; D is the business-as-usual pair it should be compared with.</t>
  </si>
  <si>
    <t xml:space="preserve">Metric</t>
  </si>
  <si>
    <t xml:space="preserve">A. GridMats Solar Walkway</t>
  </si>
  <si>
    <t xml:space="preserve">B. Rooftop solar</t>
  </si>
  <si>
    <t xml:space="preserve">C. Solar carport</t>
  </si>
  <si>
    <t xml:space="preserve">D. Paver walkway + rooftop</t>
  </si>
  <si>
    <t xml:space="preserve">PVF walkway</t>
  </si>
  <si>
    <t xml:space="preserve">PVF rooftop</t>
  </si>
  <si>
    <t xml:space="preserve">Footprint (m²)</t>
  </si>
  <si>
    <t xml:space="preserve">Installed capacity (kWp)</t>
  </si>
  <si>
    <t xml:space="preserve">Total capex (₹)</t>
  </si>
  <si>
    <t xml:space="preserve">Capex per kWp (₹)</t>
  </si>
  <si>
    <t xml:space="preserve">Simple payback on year-1 figures (years)</t>
  </si>
  <si>
    <t xml:space="preserve">Provides a walking surface</t>
  </si>
  <si>
    <t xml:space="preserve">Yes</t>
  </si>
  <si>
    <t xml:space="preserve">No</t>
  </si>
  <si>
    <t xml:space="preserve">Shade, not a walkway</t>
  </si>
  <si>
    <t xml:space="preserve">Needs roof or extra structure</t>
  </si>
  <si>
    <t xml:space="preserve">Roof</t>
  </si>
  <si>
    <t xml:space="preserve">Steel canopy and footings</t>
  </si>
  <si>
    <t xml:space="preserve">Recycled plastic in the structure (t)</t>
  </si>
  <si>
    <t xml:space="preserve">Rooftop and carport figures are the earlier ROI model's benchmarks. Rooftop is cheaper per kWp; the walkway earns its place where roofs are full, shaded or carry plant, and where a walkway is being built or relaid anyway (compare A with D).</t>
  </si>
  <si>
    <t xml:space="preserve">Σ</t>
  </si>
  <si>
    <t xml:space="preserve">Annuity</t>
  </si>
  <si>
    <t xml:space="preserve">Sensitivity: rollout payback (years)</t>
  </si>
  <si>
    <t xml:space="preserve">Simple payback on year-1 figures for the campus rollout. Each table varies two inputs and keeps the rest.</t>
  </si>
  <si>
    <t xml:space="preserve">Power price × performance ratio</t>
  </si>
  <si>
    <t xml:space="preserve">₹ / kWh ↓  /  Performance ratio →</t>
  </si>
  <si>
    <t xml:space="preserve">Power price × rollout PV-layer price (₹/m²)</t>
  </si>
  <si>
    <t xml:space="preserve">₹ / kWh ↓  /  PV layer ₹/m² →</t>
  </si>
  <si>
    <t xml:space="preserve">Pilot payback on the client's outlay × GridMats co-funding</t>
  </si>
  <si>
    <t xml:space="preserve">Co-funding of the PV layer →</t>
  </si>
  <si>
    <t xml:space="preserve">Shading: green ≤ 6 years, amber 6-9 years, red above 9 years (applied in Excel with conditional formatting).</t>
  </si>
  <si>
    <t xml:space="preserve">Scale-up: from pilot to campus</t>
  </si>
  <si>
    <t xml:space="preserve">Year-1 figures. Pilot uses pilot prices; later phases use the rollout prices for their area.</t>
  </si>
  <si>
    <t xml:space="preserve">Measure</t>
  </si>
  <si>
    <t xml:space="preserve">Phase 2</t>
  </si>
  <si>
    <t xml:space="preserve">Campus</t>
  </si>
  <si>
    <t xml:space="preserve">Portfolio</t>
  </si>
  <si>
    <t xml:space="preserve">Area (m²)</t>
  </si>
  <si>
    <t xml:space="preserve">Generation, year 1 (MWh)</t>
  </si>
  <si>
    <t xml:space="preserve">Electricity saved, year 1 (₹ lakh)</t>
  </si>
  <si>
    <t xml:space="preserve">CO2 avoided per year (t)</t>
  </si>
  <si>
    <t xml:space="preserve">Installed cost per m² (₹)</t>
  </si>
  <si>
    <t xml:space="preserve">Installed cost (₹ lakh)</t>
  </si>
  <si>
    <t xml:space="preserve">Net of walkway credit (₹ lakh)</t>
  </si>
  <si>
    <t xml:space="preserve">Simple payback on full cost (years)</t>
  </si>
  <si>
    <t xml:space="preserve">Pilot column shows full physical cost, before co-funding.</t>
  </si>
  <si>
    <t xml:space="preserve">Recycled PP in the base (t)</t>
  </si>
  <si>
    <t xml:space="preserve">Pilot scorecard: measured, not assumed</t>
  </si>
  <si>
    <t xml:space="preserve">Agreed with the client before installation; filled in at the evaluation review.</t>
  </si>
  <si>
    <t xml:space="preserve">KPI</t>
  </si>
  <si>
    <t xml:space="preserve">Target / benchmark</t>
  </si>
  <si>
    <t xml:space="preserve">How it is measured</t>
  </si>
  <si>
    <t xml:space="preserve">Measured result</t>
  </si>
  <si>
    <t xml:space="preserve">Weight</t>
  </si>
  <si>
    <t xml:space="preserve">Score (1-5)</t>
  </si>
  <si>
    <t xml:space="preserve">Energy generation vs estimate</t>
  </si>
  <si>
    <t xml:space="preserve">≥ 90% of the model's monthly estimate</t>
  </si>
  <si>
    <t xml:space="preserve">Energy meter and logger, monthly</t>
  </si>
  <si>
    <t xml:space="preserve">Performance ratio achieved</t>
  </si>
  <si>
    <t xml:space="preserve">≥ PR used in the model</t>
  </si>
  <si>
    <t xml:space="preserve">Generation ÷ (reference-cell irradiation × kWp)</t>
  </si>
  <si>
    <t xml:space="preserve">Pedestrian and maintenance-cart load</t>
  </si>
  <si>
    <t xml:space="preserve">4 kN/m² uniform and 4.5 kN point load (IS 875 Part 2); no cracking or movement</t>
  </si>
  <si>
    <t xml:space="preserve">Load test at handover; inspection</t>
  </si>
  <si>
    <t xml:space="preserve">Surface temperature (peak)</t>
  </si>
  <si>
    <t xml:space="preserve">Within module specification</t>
  </si>
  <si>
    <t xml:space="preserve">Module-temperature sensors</t>
  </si>
  <si>
    <t xml:space="preserve">Slip resistance and walking comfort</t>
  </si>
  <si>
    <t xml:space="preserve">R11 (DIN 51130) or wet pendulum PTV ≥ 36</t>
  </si>
  <si>
    <t xml:space="preserve">Pendulum test wet and dry; user feedback</t>
  </si>
  <si>
    <t xml:space="preserve">Drainage and water ingress</t>
  </si>
  <si>
    <t xml:space="preserve">No ponding, no ingress</t>
  </si>
  <si>
    <t xml:space="preserve">Inspection after heavy rain</t>
  </si>
  <si>
    <t xml:space="preserve">Electrical uptime</t>
  </si>
  <si>
    <t xml:space="preserve">≥ 98%</t>
  </si>
  <si>
    <t xml:space="preserve">Logger availability data</t>
  </si>
  <si>
    <t xml:space="preserve">Cleaning and maintenance effort</t>
  </si>
  <si>
    <t xml:space="preserve">Within O&amp;M assumption</t>
  </si>
  <si>
    <t xml:space="preserve">Cleaning log</t>
  </si>
  <si>
    <t xml:space="preserve">Module survival and repairability</t>
  </si>
  <si>
    <t xml:space="preserve">No irreparable failures</t>
  </si>
  <si>
    <t xml:space="preserve">Replacement log</t>
  </si>
  <si>
    <t xml:space="preserve">Visual finish and user acceptance</t>
  </si>
  <si>
    <t xml:space="preserve">Client acceptance</t>
  </si>
  <si>
    <t xml:space="preserve">Facilities and user survey</t>
  </si>
  <si>
    <t xml:space="preserve">Weight total (must be 100%)</t>
  </si>
  <si>
    <t xml:space="preserve">Weighted score (out of 5)</t>
  </si>
  <si>
    <t xml:space="preserve">KPIs and weights from the earlier GridMats Solar Walkway ROI model (Reliance / Jio R&amp;D pilot). Fill in columns D and F at the review.</t>
  </si>
  <si>
    <t xml:space="preserve">Sources and notes</t>
  </si>
  <si>
    <t xml:space="preserve">Where every number comes from, and what changed from earlier GridMats calculations.</t>
  </si>
  <si>
    <t xml:space="preserve">Changes from earlier GridMats Solar Walkway calculations</t>
  </si>
  <si>
    <t xml:space="preserve">Earlier value (file)</t>
  </si>
  <si>
    <t xml:space="preserve">This model</t>
  </si>
  <si>
    <t xml:space="preserve">Why</t>
  </si>
  <si>
    <t xml:space="preserve">126 W/m² (ROI model: 580 × 450 mm, 82% coverage); 110 W/m² (2025 decks, flier to 6 Oct)</t>
  </si>
  <si>
    <t xml:space="preserve">160 W/m²</t>
  </si>
  <si>
    <t xml:space="preserve">MD correction, 6 Oct 2026: 40 W module on each grid, 4 per m².</t>
  </si>
  <si>
    <t xml:space="preserve">PV layer price</t>
  </si>
  <si>
    <t xml:space="preserve">₹2,500/m² in the ROI model's input cell</t>
  </si>
  <si>
    <t xml:space="preserve">₹9,500/m² pilot; ₹8,500/m² rollout</t>
  </si>
  <si>
    <t xml:space="preserve">The ROI model's own benchmark sheet and the proposal letter state ₹9,500/m²; Jul 2026 financials give ₹8,000-9,000/m² for volume.</t>
  </si>
  <si>
    <t xml:space="preserve">Structural base</t>
  </si>
  <si>
    <t xml:space="preserve">GridMats HD ₹1,200/m² (ROI model)</t>
  </si>
  <si>
    <t xml:space="preserve">OC-LW 40 at ₹690/m² (under 1,000 m²)</t>
  </si>
  <si>
    <t xml:space="preserve">Current price ladder (25 Sep 2026); the module sits on the 500 × 500 mm grid.</t>
  </si>
  <si>
    <t xml:space="preserve">78%</t>
  </si>
  <si>
    <t xml:space="preserve">70% base (62-78%)</t>
  </si>
  <si>
    <t xml:space="preserve">Flat, walk-on modules run hotter and collect more dust than tilted rooftop panels.</t>
  </si>
  <si>
    <t xml:space="preserve">GST</t>
  </si>
  <si>
    <t xml:space="preserve">13.8% composite</t>
  </si>
  <si>
    <t xml:space="preserve">8.9% composite (confirm)</t>
  </si>
  <si>
    <t xml:space="preserve">GST on solar goods cut from 12% to 5% from 22 Sep 2025.</t>
  </si>
  <si>
    <t xml:space="preserve">Power price</t>
  </si>
  <si>
    <t xml:space="preserve">₹9/kWh placeholder</t>
  </si>
  <si>
    <t xml:space="preserve">Client sheet</t>
  </si>
  <si>
    <t xml:space="preserve">Use the landed rate from the site's electricity bill.</t>
  </si>
  <si>
    <t xml:space="preserve">Cost calculator (Apr 2025)</t>
  </si>
  <si>
    <t xml:space="preserve">₹6,540-7,800/m² at 80-111 W/m²; ₹70-84/W</t>
  </si>
  <si>
    <t xml:space="preserve">Superseded</t>
  </si>
  <si>
    <t xml:space="preserve">Lower power density and older module; kept for reference.</t>
  </si>
  <si>
    <t xml:space="preserve">Cell technology and losses</t>
  </si>
  <si>
    <t xml:space="preserve">Not modelled; flat 78% PR, 0.5%/yr</t>
  </si>
  <si>
    <t xml:space="preserve">TOPCon (n-type) library; PR built from seven losses</t>
  </si>
  <si>
    <t xml:space="preserve">Latest TOPCon data: −0.29%/°C, 1% then 0.4%/yr; heat and dust matter more on a flat walkway.</t>
  </si>
  <si>
    <t xml:space="preserve">GridMats Solar Walkway flier (6 Oct 2026)</t>
  </si>
  <si>
    <t xml:space="preserve">Design basis: 40 W per module, 4 per m², ~160 W/m², 15-16% surface efficiency; pilot method; status.</t>
  </si>
  <si>
    <t xml:space="preserve">GridMats Solar Walkway Client/Partner Deck v2</t>
  </si>
  <si>
    <t xml:space="preserve">Construction (PV layer, 40 × 40 mm MLP lumber, GridMats base), 550 × 400 mm module, pilot pathway.</t>
  </si>
  <si>
    <t xml:space="preserve">GridMats Solar Walkway ROI Comparison Model (Reliance / Jio R&amp;D pilot)</t>
  </si>
  <si>
    <t xml:space="preserve">Cost stack, rooftop and carport benchmarks, O&amp;M, pilot objectives and scorecard.</t>
  </si>
  <si>
    <t xml:space="preserve">GridMats Solar cost calculator (Apr 2025)</t>
  </si>
  <si>
    <t xml:space="preserve">Earlier module, MLP and labour costs; superseded.</t>
  </si>
  <si>
    <t xml:space="preserve">GridMats price ladder (25 Sep 2026); Design Engine 73 unit rates</t>
  </si>
  <si>
    <t xml:space="preserve">OC-LW 40 prices; base-works rates.</t>
  </si>
  <si>
    <t xml:space="preserve">GridMats financials (Jul 2026)</t>
  </si>
  <si>
    <t xml:space="preserve">Solar walkway pricing range ₹8,000-9,000/m².</t>
  </si>
  <si>
    <t xml:space="preserve">CEA CO2 Baseline Database v21.0</t>
  </si>
  <si>
    <t xml:space="preserve">Grid emission factor 0.710 t CO2/MWh.</t>
  </si>
  <si>
    <t xml:space="preserve">Income-tax Act; GST Council (Sep 2025), Notification 9/2025-CT(R); Gujarat AAR GUJ/GAAR/R/2024/01</t>
  </si>
  <si>
    <t xml:space="preserve">40% WDV depreciation; 5% GST on solar goods; ITC on captive solar.</t>
  </si>
  <si>
    <t xml:space="preserve">pv-magazine (25 Feb 2026); taiyangnews; JMK Research (Apr 2026); manufacturer datasheets</t>
  </si>
  <si>
    <t xml:space="preserve">TOPCon cell and module efficiency, temperature coefficient, degradation and price.</t>
  </si>
  <si>
    <t xml:space="preserve">MERC order, Case 75 of 2025 (25 Mar 2026); MSEDCL circulars</t>
  </si>
  <si>
    <t xml:space="preserve">HT tariffs, solar-hour ToD rebate, electricity duty.</t>
  </si>
  <si>
    <t xml:space="preserve">NASA-derived Navi Mumbai climatology; Meteonorm 8.2 (ICADMSES 2026)</t>
  </si>
  <si>
    <t xml:space="preserve">Mumbai sunshine calibration.</t>
  </si>
  <si>
    <t xml:space="preserve">IS 875 (Part 2); DIN 51130; BS 7976-2; IS 14286 and IS/IEC 61730 (BIS)</t>
  </si>
  <si>
    <t xml:space="preserve">Load, slip-resistance and module-registration targets.</t>
  </si>
  <si>
    <t xml:space="preserve">Status: the GridMats Solar Walkway is pre-commercial; pilot validation is under way and no commercial deployment is claimed. Yield, life and upkeep are estimates the pilot measures.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</si>
</sst>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;\(#,##0\);\-"/>
    <numFmt numFmtId="166" formatCode="\₹#,##0;&quot;(₹&quot;#,##0\);\-"/>
    <numFmt numFmtId="167" formatCode="0.0&quot; yrs&quot;;\(0.0&quot; yrs)&quot;;\-"/>
    <numFmt numFmtId="168" formatCode="0.0%;\(0.0%\);\-"/>
    <numFmt numFmtId="169" formatCode="\₹#,##0.00;&quot;(₹&quot;#,##0.00\);\-"/>
    <numFmt numFmtId="170" formatCode="#,##0.0;\(#,##0.0\);\-"/>
    <numFmt numFmtId="171" formatCode="#,##0.00;\(#,##0.00\);\-"/>
    <numFmt numFmtId="172" formatCode="0.00%"/>
    <numFmt numFmtId="173" formatCode="0.000"/>
    <numFmt numFmtId="174" formatCode="0.0\x;\(0.0&quot;x)&quot;;\-"/>
    <numFmt numFmtId="175" formatCode="0.0000"/>
    <numFmt numFmtId="176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C22935"/>
      <name val="Arial"/>
      <family val="0"/>
      <charset val="1"/>
    </font>
    <font>
      <sz val="13"/>
      <color rgb="FF3F3F3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6"/>
      <color rgb="FFC22935"/>
      <name val="Arial"/>
      <family val="0"/>
      <charset val="1"/>
    </font>
    <font>
      <i val="true"/>
      <sz val="10"/>
      <color rgb="FF5B677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B6770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33"/>
        <bgColor rgb="FF1F2A30"/>
      </patternFill>
    </fill>
    <fill>
      <patternFill patternType="solid">
        <fgColor rgb="FFF6F6F4"/>
        <bgColor rgb="FFFFFDE7"/>
      </patternFill>
    </fill>
    <fill>
      <patternFill patternType="solid">
        <fgColor rgb="FFFBEAEC"/>
        <bgColor rgb="FFF6F6F4"/>
      </patternFill>
    </fill>
    <fill>
      <patternFill patternType="solid">
        <fgColor rgb="FFFFFF00"/>
        <bgColor rgb="FFFFFF00"/>
      </patternFill>
    </fill>
    <fill>
      <patternFill patternType="solid">
        <fgColor rgb="FFFFFDE7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AA5AD"/>
      </bottom>
      <diagonal/>
    </border>
    <border diagonalUp="false" diagonalDown="false">
      <left style="thin">
        <color rgb="FFD0D7DC"/>
      </left>
      <right style="thin">
        <color rgb="FFD0D7DC"/>
      </right>
      <top style="thin">
        <color rgb="FFD0D7DC"/>
      </top>
      <bottom style="thin">
        <color rgb="FFD0D7DC"/>
      </bottom>
      <diagonal/>
    </border>
    <border diagonalUp="false" diagonalDown="false">
      <left/>
      <right/>
      <top style="thin">
        <color rgb="FF1F2A30"/>
      </top>
      <bottom style="double">
        <color rgb="FF1F2A3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3F1E6"/>
        </patternFill>
      </fill>
    </dxf>
    <dxf>
      <fill>
        <patternFill>
          <bgColor rgb="FFFFF4D6"/>
        </patternFill>
      </fill>
    </dxf>
    <dxf>
      <fill>
        <patternFill>
          <bgColor rgb="FFFBEA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22935"/>
      <rgbColor rgb="FFFFFDE7"/>
      <rgbColor rgb="FFE3F1E6"/>
      <rgbColor rgb="FF660066"/>
      <rgbColor rgb="FFFF8080"/>
      <rgbColor rgb="FF0066CC"/>
      <rgbColor rgb="FFD0D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6F4"/>
      <rgbColor rgb="FFFBEAEC"/>
      <rgbColor rgb="FFFFF4D6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B6770"/>
      <rgbColor rgb="FF9AA5AD"/>
      <rgbColor rgb="FF1F2A33"/>
      <rgbColor rgb="FF339966"/>
      <rgbColor rgb="FF1A1A1A"/>
      <rgbColor rgb="FF1F2A3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2935"/>
    <pageSetUpPr fitToPage="false"/>
  </sheetPr>
  <dimension ref="B2:E3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0"/>
    <col collapsed="false" customWidth="true" hidden="false" outlineLevel="0" max="3" min="3" style="0" width="22"/>
    <col collapsed="false" customWidth="true" hidden="false" outlineLevel="0" max="4" min="4" style="0" width="4"/>
    <col collapsed="false" customWidth="true" hidden="false" outlineLevel="0" max="5" min="5" style="0" width="40"/>
  </cols>
  <sheetData>
    <row r="2" customFormat="false" ht="26.8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tr">
        <f aca="false">ClientEntity</f>
        <v>[Client legal entity]</v>
      </c>
    </row>
    <row r="6" customFormat="false" ht="15" hidden="false" customHeight="false" outlineLevel="0" collapsed="false">
      <c r="B6" s="5" t="s">
        <v>3</v>
      </c>
      <c r="C6" s="6" t="str">
        <f aca="false">SiteName&amp;", "&amp;SiteCity</f>
        <v>[Campus or site name], [City, State]</v>
      </c>
    </row>
    <row r="7" customFormat="false" ht="15" hidden="false" customHeight="false" outlineLevel="0" collapsed="false">
      <c r="B7" s="5" t="s">
        <v>4</v>
      </c>
      <c r="C7" s="6" t="str">
        <f aca="false">PropDate&amp;" · "&amp;PreparedBy</f>
        <v>[Month Year] · GridMats (GroundReality Enterprises Pvt. Ltd.)</v>
      </c>
    </row>
    <row r="8" customFormat="false" ht="15" hidden="false" customHeight="false" outlineLevel="0" collapsed="false">
      <c r="B8" s="5" t="s">
        <v>5</v>
      </c>
      <c r="C8" s="6" t="str">
        <f aca="false">Scenario</f>
        <v>Base</v>
      </c>
    </row>
    <row r="10" customFormat="false" ht="18" hidden="false" customHeight="true" outlineLevel="0" collapsed="false">
      <c r="B10" s="7" t="s">
        <v>6</v>
      </c>
      <c r="C10" s="8"/>
      <c r="D10" s="8"/>
      <c r="E10" s="8"/>
    </row>
    <row r="11" customFormat="false" ht="15" hidden="false" customHeight="false" outlineLevel="0" collapsed="false">
      <c r="B11" s="9" t="s">
        <v>7</v>
      </c>
      <c r="C11" s="10"/>
      <c r="D11" s="10"/>
      <c r="E11" s="10"/>
    </row>
    <row r="12" customFormat="false" ht="15" hidden="false" customHeight="false" outlineLevel="0" collapsed="false">
      <c r="B12" s="5" t="s">
        <v>8</v>
      </c>
      <c r="C12" s="4" t="str">
        <f aca="false">TEXT(PilotArea,"0")&amp;" m² · "&amp;TEXT(PilotKWp,"0.0")&amp;" kWp"</f>
        <v>20 m² · 3.2 kWp</v>
      </c>
    </row>
    <row r="13" customFormat="false" ht="15" hidden="false" customHeight="false" outlineLevel="0" collapsed="false">
      <c r="B13" s="5" t="s">
        <v>9</v>
      </c>
      <c r="C13" s="11" t="n">
        <f aca="false">PilotKWh1</f>
        <v>4304.81074750987</v>
      </c>
    </row>
    <row r="14" customFormat="false" ht="15" hidden="false" customHeight="false" outlineLevel="0" collapsed="false">
      <c r="B14" s="5" t="s">
        <v>10</v>
      </c>
      <c r="C14" s="12" t="n">
        <f aca="false">PilotPays</f>
        <v>182498</v>
      </c>
    </row>
    <row r="15" customFormat="false" ht="15" hidden="false" customHeight="false" outlineLevel="0" collapsed="false">
      <c r="B15" s="5" t="s">
        <v>11</v>
      </c>
      <c r="C15" s="12" t="n">
        <f aca="false">PilotContrib</f>
        <v>345000</v>
      </c>
    </row>
    <row r="16" customFormat="false" ht="15" hidden="false" customHeight="false" outlineLevel="0" collapsed="false">
      <c r="B16" s="5" t="s">
        <v>12</v>
      </c>
      <c r="C16" s="13" t="n">
        <f aca="false">PE_Payback</f>
        <v>5.05577690130418</v>
      </c>
    </row>
    <row r="17" customFormat="false" ht="15" hidden="false" customHeight="false" outlineLevel="0" collapsed="false">
      <c r="B17" s="9" t="s">
        <v>13</v>
      </c>
      <c r="C17" s="10"/>
      <c r="D17" s="10"/>
      <c r="E17" s="10"/>
    </row>
    <row r="18" customFormat="false" ht="15" hidden="false" customHeight="false" outlineLevel="0" collapsed="false">
      <c r="B18" s="5" t="s">
        <v>14</v>
      </c>
      <c r="C18" s="11" t="n">
        <f aca="false">CampusArea</f>
        <v>1000</v>
      </c>
    </row>
    <row r="19" customFormat="false" ht="15" hidden="false" customHeight="false" outlineLevel="0" collapsed="false">
      <c r="B19" s="5" t="s">
        <v>15</v>
      </c>
      <c r="C19" s="12" t="n">
        <f aca="false">RO_CostSqft</f>
        <v>1080.7328198887</v>
      </c>
    </row>
    <row r="20" customFormat="false" ht="15" hidden="false" customHeight="false" outlineLevel="0" collapsed="false">
      <c r="B20" s="5" t="s">
        <v>16</v>
      </c>
      <c r="C20" s="13" t="n">
        <f aca="false">RO_Payback</f>
        <v>5.6296845341997</v>
      </c>
    </row>
    <row r="21" customFormat="false" ht="15" hidden="false" customHeight="false" outlineLevel="0" collapsed="false">
      <c r="B21" s="5" t="s">
        <v>17</v>
      </c>
      <c r="C21" s="14" t="n">
        <f aca="false">RO_IRR</f>
        <v>0.181911756069019</v>
      </c>
    </row>
    <row r="22" customFormat="false" ht="15" hidden="false" customHeight="false" outlineLevel="0" collapsed="false">
      <c r="B22" s="9" t="s">
        <v>18</v>
      </c>
      <c r="C22" s="10"/>
      <c r="D22" s="10"/>
      <c r="E22" s="10"/>
    </row>
    <row r="23" customFormat="false" ht="15" hidden="false" customHeight="false" outlineLevel="0" collapsed="false">
      <c r="B23" s="5" t="s">
        <v>19</v>
      </c>
      <c r="C23" s="4" t="str">
        <f aca="false">TEXT(CMP_Payback_W,"0.0")&amp;" / "&amp;TEXT(CMP_Payback_Roof,"0.0")&amp;" / "&amp;TEXT(CMP_Payback_ConvRoof,"0.0")</f>
        <v>6.6 / 3.0 / 3.5</v>
      </c>
    </row>
    <row r="25" customFormat="false" ht="18" hidden="false" customHeight="true" outlineLevel="0" collapsed="false">
      <c r="B25" s="7" t="s">
        <v>20</v>
      </c>
      <c r="C25" s="8"/>
      <c r="D25" s="8"/>
      <c r="E25" s="8"/>
    </row>
    <row r="26" customFormat="false" ht="30" hidden="false" customHeight="true" outlineLevel="0" collapsed="false">
      <c r="B26" s="15" t="s">
        <v>21</v>
      </c>
      <c r="C26" s="15"/>
      <c r="D26" s="15"/>
      <c r="E26" s="15"/>
    </row>
    <row r="27" customFormat="false" ht="30" hidden="false" customHeight="true" outlineLevel="0" collapsed="false">
      <c r="B27" s="15" t="s">
        <v>22</v>
      </c>
      <c r="C27" s="15"/>
      <c r="D27" s="15"/>
      <c r="E27" s="15"/>
    </row>
    <row r="28" customFormat="false" ht="30" hidden="false" customHeight="true" outlineLevel="0" collapsed="false">
      <c r="B28" s="15" t="s">
        <v>23</v>
      </c>
      <c r="C28" s="15"/>
      <c r="D28" s="15"/>
      <c r="E28" s="15"/>
    </row>
    <row r="29" customFormat="false" ht="30" hidden="false" customHeight="true" outlineLevel="0" collapsed="false">
      <c r="B29" s="15" t="s">
        <v>24</v>
      </c>
      <c r="C29" s="15"/>
      <c r="D29" s="15"/>
      <c r="E29" s="15"/>
    </row>
    <row r="30" customFormat="false" ht="30" hidden="false" customHeight="true" outlineLevel="0" collapsed="false">
      <c r="B30" s="15" t="s">
        <v>25</v>
      </c>
      <c r="C30" s="15"/>
      <c r="D30" s="15"/>
      <c r="E30" s="15"/>
    </row>
  </sheetData>
  <mergeCells count="5">
    <mergeCell ref="B26:E26"/>
    <mergeCell ref="B27:E27"/>
    <mergeCell ref="B28:E28"/>
    <mergeCell ref="B29:E29"/>
    <mergeCell ref="B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6" min="4" style="0" width="13"/>
    <col collapsed="false" customWidth="true" hidden="false" outlineLevel="0" max="7" min="7" style="0" width="80"/>
  </cols>
  <sheetData>
    <row r="1" customFormat="false" ht="25.5" hidden="false" customHeight="true" outlineLevel="0" collapsed="false">
      <c r="A1" s="16" t="s">
        <v>26</v>
      </c>
    </row>
    <row r="2" customFormat="false" ht="15" hidden="false" customHeight="false" outlineLevel="0" collapsed="false">
      <c r="A2" s="17" t="s">
        <v>27</v>
      </c>
    </row>
    <row r="4" customFormat="false" ht="15" hidden="false" customHeight="false" outlineLevel="0" collapsed="false">
      <c r="A4" s="18" t="s">
        <v>28</v>
      </c>
      <c r="B4" s="19" t="s">
        <v>29</v>
      </c>
      <c r="C4" s="19" t="s">
        <v>30</v>
      </c>
      <c r="D4" s="19" t="s">
        <v>31</v>
      </c>
      <c r="E4" s="19" t="s">
        <v>32</v>
      </c>
      <c r="F4" s="19" t="s">
        <v>33</v>
      </c>
      <c r="G4" s="19" t="s">
        <v>34</v>
      </c>
    </row>
    <row r="5" customFormat="false" ht="15" hidden="false" customHeight="false" outlineLevel="0" collapsed="false">
      <c r="A5" s="3" t="s">
        <v>35</v>
      </c>
      <c r="C5" s="20" t="s">
        <v>32</v>
      </c>
      <c r="D5" s="21" t="s">
        <v>31</v>
      </c>
      <c r="E5" s="21" t="s">
        <v>32</v>
      </c>
      <c r="F5" s="21" t="s">
        <v>33</v>
      </c>
      <c r="G5" s="22" t="s">
        <v>36</v>
      </c>
    </row>
    <row r="6" customFormat="false" ht="15" hidden="false" customHeight="false" outlineLevel="0" collapsed="false">
      <c r="A6" s="5" t="s">
        <v>37</v>
      </c>
      <c r="C6" s="23" t="n">
        <f aca="false">MATCH(C5,D5:F5,0)</f>
        <v>2</v>
      </c>
    </row>
    <row r="8" customFormat="false" ht="18" hidden="false" customHeight="true" outlineLevel="0" collapsed="false">
      <c r="A8" s="7" t="s">
        <v>38</v>
      </c>
      <c r="B8" s="8"/>
      <c r="C8" s="8"/>
      <c r="D8" s="8"/>
      <c r="E8" s="8"/>
      <c r="F8" s="8"/>
      <c r="G8" s="8"/>
    </row>
    <row r="9" customFormat="false" ht="15" hidden="false" customHeight="false" outlineLevel="0" collapsed="false">
      <c r="A9" s="5" t="s">
        <v>39</v>
      </c>
      <c r="B9" s="21" t="s">
        <v>40</v>
      </c>
      <c r="C9" s="24" t="s">
        <v>41</v>
      </c>
      <c r="G9" s="22" t="s">
        <v>42</v>
      </c>
    </row>
    <row r="10" customFormat="false" ht="15" hidden="false" customHeight="false" outlineLevel="0" collapsed="false">
      <c r="A10" s="5" t="s">
        <v>43</v>
      </c>
      <c r="B10" s="21" t="s">
        <v>40</v>
      </c>
      <c r="C10" s="24" t="s">
        <v>44</v>
      </c>
      <c r="G10" s="22" t="s">
        <v>45</v>
      </c>
    </row>
    <row r="11" customFormat="false" ht="15" hidden="false" customHeight="false" outlineLevel="0" collapsed="false">
      <c r="A11" s="5" t="s">
        <v>46</v>
      </c>
      <c r="B11" s="21" t="s">
        <v>40</v>
      </c>
      <c r="C11" s="24" t="s">
        <v>47</v>
      </c>
      <c r="G11" s="22" t="s">
        <v>48</v>
      </c>
    </row>
    <row r="12" customFormat="false" ht="15" hidden="false" customHeight="false" outlineLevel="0" collapsed="false">
      <c r="A12" s="5" t="s">
        <v>49</v>
      </c>
      <c r="B12" s="21" t="s">
        <v>40</v>
      </c>
      <c r="C12" s="25" t="s">
        <v>50</v>
      </c>
      <c r="G12" s="22"/>
    </row>
    <row r="13" customFormat="false" ht="15" hidden="false" customHeight="false" outlineLevel="0" collapsed="false">
      <c r="A13" s="5" t="s">
        <v>51</v>
      </c>
      <c r="B13" s="21" t="s">
        <v>52</v>
      </c>
      <c r="C13" s="24" t="s">
        <v>53</v>
      </c>
      <c r="G13" s="22" t="s">
        <v>54</v>
      </c>
    </row>
    <row r="14" customFormat="false" ht="15" hidden="false" customHeight="false" outlineLevel="0" collapsed="false">
      <c r="A14" s="5" t="s">
        <v>55</v>
      </c>
      <c r="B14" s="21" t="s">
        <v>40</v>
      </c>
      <c r="C14" s="25" t="s">
        <v>56</v>
      </c>
      <c r="G14" s="22"/>
    </row>
    <row r="15" customFormat="false" ht="23.85" hidden="false" customHeight="false" outlineLevel="0" collapsed="false">
      <c r="A15" s="5" t="s">
        <v>57</v>
      </c>
      <c r="B15" s="21" t="s">
        <v>40</v>
      </c>
      <c r="C15" s="25" t="s">
        <v>58</v>
      </c>
      <c r="G15" s="22" t="s">
        <v>59</v>
      </c>
    </row>
    <row r="17" customFormat="false" ht="18" hidden="false" customHeight="true" outlineLevel="0" collapsed="false">
      <c r="A17" s="7" t="s">
        <v>60</v>
      </c>
      <c r="B17" s="8"/>
      <c r="C17" s="8"/>
      <c r="D17" s="8"/>
      <c r="E17" s="8"/>
      <c r="F17" s="8"/>
      <c r="G17" s="8"/>
    </row>
    <row r="18" customFormat="false" ht="15" hidden="false" customHeight="false" outlineLevel="0" collapsed="false">
      <c r="A18" s="5" t="s">
        <v>61</v>
      </c>
      <c r="B18" s="21" t="s">
        <v>62</v>
      </c>
      <c r="C18" s="26" t="n">
        <v>9</v>
      </c>
      <c r="G18" s="22" t="s">
        <v>63</v>
      </c>
    </row>
    <row r="19" customFormat="false" ht="15" hidden="false" customHeight="false" outlineLevel="0" collapsed="false">
      <c r="A19" s="5" t="s">
        <v>64</v>
      </c>
      <c r="B19" s="21" t="s">
        <v>65</v>
      </c>
      <c r="C19" s="27" t="n">
        <v>0.03</v>
      </c>
      <c r="G19" s="22" t="s">
        <v>66</v>
      </c>
    </row>
    <row r="20" customFormat="false" ht="15" hidden="false" customHeight="false" outlineLevel="0" collapsed="false">
      <c r="A20" s="5" t="s">
        <v>67</v>
      </c>
      <c r="B20" s="21" t="s">
        <v>68</v>
      </c>
      <c r="C20" s="27" t="n">
        <v>0.05</v>
      </c>
      <c r="G20" s="22" t="s">
        <v>69</v>
      </c>
    </row>
    <row r="22" customFormat="false" ht="18" hidden="false" customHeight="true" outlineLevel="0" collapsed="false">
      <c r="A22" s="7" t="s">
        <v>70</v>
      </c>
      <c r="B22" s="8"/>
      <c r="C22" s="8"/>
      <c r="D22" s="8"/>
      <c r="E22" s="8"/>
      <c r="F22" s="8"/>
      <c r="G22" s="8"/>
    </row>
    <row r="23" customFormat="false" ht="22.35" hidden="false" customHeight="false" outlineLevel="0" collapsed="false">
      <c r="A23" s="5" t="s">
        <v>71</v>
      </c>
      <c r="B23" s="21" t="s">
        <v>52</v>
      </c>
      <c r="C23" s="25" t="s">
        <v>72</v>
      </c>
      <c r="G23" s="22" t="s">
        <v>73</v>
      </c>
    </row>
    <row r="24" customFormat="false" ht="15" hidden="false" customHeight="false" outlineLevel="0" collapsed="false">
      <c r="A24" s="5" t="s">
        <v>74</v>
      </c>
      <c r="B24" s="21" t="s">
        <v>75</v>
      </c>
      <c r="C24" s="28" t="n">
        <v>10</v>
      </c>
      <c r="G24" s="22" t="s">
        <v>76</v>
      </c>
    </row>
    <row r="25" customFormat="false" ht="15" hidden="false" customHeight="false" outlineLevel="0" collapsed="false">
      <c r="A25" s="5" t="s">
        <v>77</v>
      </c>
      <c r="B25" s="21" t="s">
        <v>75</v>
      </c>
      <c r="C25" s="28" t="n">
        <v>2</v>
      </c>
      <c r="G25" s="22"/>
    </row>
    <row r="26" customFormat="false" ht="15" hidden="false" customHeight="false" outlineLevel="0" collapsed="false">
      <c r="A26" s="5" t="s">
        <v>78</v>
      </c>
      <c r="B26" s="21" t="s">
        <v>79</v>
      </c>
      <c r="C26" s="29" t="n">
        <f aca="false">PilotL*PilotW</f>
        <v>20</v>
      </c>
      <c r="G26" s="22" t="s">
        <v>80</v>
      </c>
    </row>
    <row r="27" customFormat="false" ht="15" hidden="false" customHeight="false" outlineLevel="0" collapsed="false">
      <c r="A27" s="5" t="s">
        <v>81</v>
      </c>
      <c r="B27" s="21" t="s">
        <v>79</v>
      </c>
      <c r="C27" s="30" t="n">
        <v>200</v>
      </c>
      <c r="G27" s="22" t="s">
        <v>82</v>
      </c>
    </row>
    <row r="28" customFormat="false" ht="15" hidden="false" customHeight="false" outlineLevel="0" collapsed="false">
      <c r="A28" s="5" t="s">
        <v>83</v>
      </c>
      <c r="B28" s="21" t="s">
        <v>79</v>
      </c>
      <c r="C28" s="31" t="n">
        <v>1000</v>
      </c>
      <c r="G28" s="22" t="s">
        <v>84</v>
      </c>
    </row>
    <row r="29" customFormat="false" ht="15" hidden="false" customHeight="false" outlineLevel="0" collapsed="false">
      <c r="A29" s="5" t="s">
        <v>85</v>
      </c>
      <c r="B29" s="21" t="s">
        <v>79</v>
      </c>
      <c r="C29" s="30" t="n">
        <v>5000</v>
      </c>
      <c r="G29" s="22" t="s">
        <v>86</v>
      </c>
    </row>
    <row r="31" customFormat="false" ht="18" hidden="false" customHeight="true" outlineLevel="0" collapsed="false">
      <c r="A31" s="7" t="s">
        <v>87</v>
      </c>
      <c r="B31" s="8"/>
      <c r="C31" s="8"/>
      <c r="D31" s="8"/>
      <c r="E31" s="8"/>
      <c r="F31" s="8"/>
      <c r="G31" s="8"/>
    </row>
    <row r="32" customFormat="false" ht="15" hidden="false" customHeight="false" outlineLevel="0" collapsed="false">
      <c r="A32" s="5" t="s">
        <v>88</v>
      </c>
      <c r="B32" s="21" t="s">
        <v>68</v>
      </c>
      <c r="C32" s="32" t="n">
        <v>0.5</v>
      </c>
      <c r="G32" s="22" t="s">
        <v>89</v>
      </c>
    </row>
    <row r="33" customFormat="false" ht="15" hidden="false" customHeight="false" outlineLevel="0" collapsed="false">
      <c r="A33" s="5" t="s">
        <v>90</v>
      </c>
      <c r="B33" s="21" t="s">
        <v>68</v>
      </c>
      <c r="C33" s="27" t="n">
        <v>0.1</v>
      </c>
      <c r="G33" s="22" t="s">
        <v>91</v>
      </c>
    </row>
    <row r="34" customFormat="false" ht="15" hidden="false" customHeight="false" outlineLevel="0" collapsed="false">
      <c r="A34" s="5" t="s">
        <v>92</v>
      </c>
      <c r="B34" s="21" t="s">
        <v>68</v>
      </c>
      <c r="C34" s="27" t="n">
        <v>0.2517</v>
      </c>
      <c r="G34" s="22" t="s">
        <v>93</v>
      </c>
    </row>
    <row r="35" customFormat="false" ht="15" hidden="false" customHeight="false" outlineLevel="0" collapsed="false">
      <c r="A35" s="5" t="s">
        <v>94</v>
      </c>
      <c r="B35" s="21" t="s">
        <v>95</v>
      </c>
      <c r="C35" s="30" t="n">
        <v>3</v>
      </c>
      <c r="G35" s="22" t="s">
        <v>96</v>
      </c>
    </row>
    <row r="36" customFormat="false" ht="15" hidden="false" customHeight="false" outlineLevel="0" collapsed="false">
      <c r="A36" s="5" t="s">
        <v>97</v>
      </c>
      <c r="B36" s="21" t="s">
        <v>95</v>
      </c>
      <c r="C36" s="30" t="n">
        <v>12</v>
      </c>
      <c r="G36" s="22" t="s">
        <v>98</v>
      </c>
    </row>
    <row r="37" customFormat="false" ht="15" hidden="false" customHeight="false" outlineLevel="0" collapsed="false">
      <c r="A37" s="5" t="s">
        <v>99</v>
      </c>
      <c r="B37" s="21" t="s">
        <v>40</v>
      </c>
      <c r="C37" s="25" t="s">
        <v>100</v>
      </c>
      <c r="G37" s="22"/>
    </row>
    <row r="38" customFormat="false" ht="23.85" hidden="false" customHeight="false" outlineLevel="0" collapsed="false">
      <c r="A38" s="5" t="s">
        <v>101</v>
      </c>
      <c r="B38" s="21" t="s">
        <v>40</v>
      </c>
      <c r="C38" s="25" t="s">
        <v>102</v>
      </c>
      <c r="G38" s="22"/>
    </row>
  </sheetData>
  <dataValidations count="3">
    <dataValidation allowBlank="false" errorStyle="stop" operator="between" showDropDown="false" showErrorMessage="false" showInputMessage="false" sqref="C5" type="list">
      <formula1>"Conservative,Base,Optimistic"</formula1>
      <formula2>0</formula2>
    </dataValidation>
    <dataValidation allowBlank="false" errorStyle="stop" operator="between" showDropDown="false" showErrorMessage="false" showInputMessage="false" sqref="C13" type="list">
      <formula1>Irradiance!$B$7:$B$15</formula1>
      <formula2>0</formula2>
    </dataValidation>
    <dataValidation allowBlank="false" errorStyle="stop" operator="between" showDropDown="false" showErrorMessage="false" showInputMessage="false" sqref="C23" type="list">
      <formula1>"New walkway,Overlay on existing paving"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8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6" min="4" style="0" width="13"/>
    <col collapsed="false" customWidth="true" hidden="false" outlineLevel="0" max="7" min="7" style="0" width="90"/>
  </cols>
  <sheetData>
    <row r="1" customFormat="false" ht="25.5" hidden="false" customHeight="true" outlineLevel="0" collapsed="false">
      <c r="A1" s="16" t="s">
        <v>103</v>
      </c>
    </row>
    <row r="2" customFormat="false" ht="15" hidden="false" customHeight="false" outlineLevel="0" collapsed="false">
      <c r="A2" s="17" t="s">
        <v>104</v>
      </c>
    </row>
    <row r="4" customFormat="false" ht="15" hidden="false" customHeight="false" outlineLevel="0" collapsed="false">
      <c r="A4" s="18" t="s">
        <v>105</v>
      </c>
      <c r="B4" s="19" t="s">
        <v>29</v>
      </c>
      <c r="C4" s="19" t="s">
        <v>30</v>
      </c>
      <c r="D4" s="19" t="s">
        <v>31</v>
      </c>
      <c r="E4" s="19" t="s">
        <v>32</v>
      </c>
      <c r="F4" s="19" t="s">
        <v>33</v>
      </c>
      <c r="G4" s="19" t="s">
        <v>34</v>
      </c>
    </row>
    <row r="5" customFormat="false" ht="18" hidden="false" customHeight="true" outlineLevel="0" collapsed="false">
      <c r="A5" s="7" t="s">
        <v>106</v>
      </c>
      <c r="B5" s="8"/>
      <c r="C5" s="8"/>
      <c r="D5" s="8"/>
      <c r="E5" s="8"/>
      <c r="F5" s="8"/>
      <c r="G5" s="8"/>
    </row>
    <row r="6" customFormat="false" ht="22.35" hidden="false" customHeight="false" outlineLevel="0" collapsed="false">
      <c r="A6" s="5" t="s">
        <v>107</v>
      </c>
      <c r="B6" s="21" t="s">
        <v>52</v>
      </c>
      <c r="C6" s="24" t="s">
        <v>108</v>
      </c>
      <c r="G6" s="22" t="s">
        <v>109</v>
      </c>
    </row>
    <row r="7" customFormat="false" ht="23.85" hidden="false" customHeight="false" outlineLevel="0" collapsed="false">
      <c r="A7" s="5" t="s">
        <v>110</v>
      </c>
      <c r="B7" s="21" t="s">
        <v>52</v>
      </c>
      <c r="C7" s="25" t="s">
        <v>111</v>
      </c>
      <c r="G7" s="22" t="s">
        <v>112</v>
      </c>
    </row>
    <row r="8" customFormat="false" ht="15" hidden="false" customHeight="false" outlineLevel="0" collapsed="false">
      <c r="A8" s="5" t="s">
        <v>113</v>
      </c>
      <c r="B8" s="21" t="s">
        <v>114</v>
      </c>
      <c r="C8" s="30" t="n">
        <v>40</v>
      </c>
      <c r="G8" s="22" t="s">
        <v>115</v>
      </c>
    </row>
    <row r="9" customFormat="false" ht="15" hidden="false" customHeight="false" outlineLevel="0" collapsed="false">
      <c r="A9" s="5" t="s">
        <v>116</v>
      </c>
      <c r="B9" s="21" t="s">
        <v>117</v>
      </c>
      <c r="C9" s="30" t="n">
        <v>4</v>
      </c>
      <c r="G9" s="22" t="s">
        <v>118</v>
      </c>
    </row>
    <row r="10" customFormat="false" ht="15" hidden="false" customHeight="false" outlineLevel="0" collapsed="false">
      <c r="A10" s="5" t="s">
        <v>119</v>
      </c>
      <c r="B10" s="21" t="s">
        <v>120</v>
      </c>
      <c r="C10" s="30" t="n">
        <v>550</v>
      </c>
      <c r="G10" s="22" t="s">
        <v>121</v>
      </c>
    </row>
    <row r="11" customFormat="false" ht="15" hidden="false" customHeight="false" outlineLevel="0" collapsed="false">
      <c r="A11" s="5" t="s">
        <v>122</v>
      </c>
      <c r="B11" s="21" t="s">
        <v>120</v>
      </c>
      <c r="C11" s="30" t="n">
        <v>400</v>
      </c>
      <c r="G11" s="22" t="s">
        <v>121</v>
      </c>
    </row>
    <row r="12" customFormat="false" ht="15" hidden="false" customHeight="false" outlineLevel="0" collapsed="false">
      <c r="A12" s="5" t="s">
        <v>123</v>
      </c>
      <c r="B12" s="21" t="s">
        <v>79</v>
      </c>
      <c r="C12" s="33" t="n">
        <f aca="false">ModL*ModWd/1000000</f>
        <v>0.22</v>
      </c>
      <c r="G12" s="22" t="s">
        <v>80</v>
      </c>
    </row>
    <row r="13" customFormat="false" ht="15" hidden="false" customHeight="false" outlineLevel="0" collapsed="false">
      <c r="A13" s="5" t="s">
        <v>124</v>
      </c>
      <c r="B13" s="21" t="s">
        <v>68</v>
      </c>
      <c r="C13" s="34" t="n">
        <f aca="false">INDEX('Module Tech'!$C$6:$C$8,MATCH(TechSel,'Module Tech'!$B$6:$B$8,0))</f>
        <v>0.258</v>
      </c>
      <c r="G13" s="22" t="s">
        <v>125</v>
      </c>
    </row>
    <row r="14" customFormat="false" ht="15" hidden="false" customHeight="false" outlineLevel="0" collapsed="false">
      <c r="A14" s="5" t="s">
        <v>126</v>
      </c>
      <c r="B14" s="21" t="s">
        <v>68</v>
      </c>
      <c r="C14" s="34" t="n">
        <f aca="false">INDEX('Module Tech'!$E$6:$E$8,MATCH(TechSel,'Module Tech'!$B$6:$B$8,0))</f>
        <v>0.235</v>
      </c>
      <c r="G14" s="22" t="s">
        <v>125</v>
      </c>
    </row>
    <row r="15" customFormat="false" ht="15" hidden="false" customHeight="false" outlineLevel="0" collapsed="false">
      <c r="A15" s="5" t="s">
        <v>127</v>
      </c>
      <c r="B15" s="21" t="s">
        <v>128</v>
      </c>
      <c r="C15" s="35" t="n">
        <f aca="false">INDEX('Module Tech'!$F$6:$F$8,MATCH(TechSel,'Module Tech'!$B$6:$B$8,0))</f>
        <v>-0.0029</v>
      </c>
      <c r="G15" s="22" t="s">
        <v>125</v>
      </c>
    </row>
    <row r="16" customFormat="false" ht="15" hidden="false" customHeight="false" outlineLevel="0" collapsed="false">
      <c r="A16" s="5" t="s">
        <v>129</v>
      </c>
      <c r="B16" s="21" t="s">
        <v>68</v>
      </c>
      <c r="C16" s="34" t="n">
        <f aca="false">INDEX('Module Tech'!$G$6:$G$8,MATCH(TechSel,'Module Tech'!$B$6:$B$8,0))</f>
        <v>0.01</v>
      </c>
      <c r="G16" s="22" t="s">
        <v>125</v>
      </c>
    </row>
    <row r="17" customFormat="false" ht="15" hidden="false" customHeight="false" outlineLevel="0" collapsed="false">
      <c r="A17" s="5" t="s">
        <v>130</v>
      </c>
      <c r="B17" s="21" t="s">
        <v>65</v>
      </c>
      <c r="C17" s="34" t="n">
        <f aca="false">INDEX('Module Tech'!$H$6:$H$8,MATCH(TechSel,'Module Tech'!$B$6:$B$8,0))</f>
        <v>0.004</v>
      </c>
      <c r="G17" s="22" t="s">
        <v>125</v>
      </c>
    </row>
    <row r="18" customFormat="false" ht="15" hidden="false" customHeight="false" outlineLevel="0" collapsed="false">
      <c r="A18" s="5" t="s">
        <v>131</v>
      </c>
      <c r="B18" s="21" t="s">
        <v>68</v>
      </c>
      <c r="C18" s="27" t="n">
        <v>0.15</v>
      </c>
      <c r="G18" s="22" t="s">
        <v>132</v>
      </c>
    </row>
    <row r="19" customFormat="false" ht="15" hidden="false" customHeight="false" outlineLevel="0" collapsed="false">
      <c r="A19" s="5" t="s">
        <v>133</v>
      </c>
      <c r="B19" s="21" t="s">
        <v>114</v>
      </c>
      <c r="C19" s="29" t="n">
        <f aca="false">ModArea*TechModEff*(1-WalkPackLoss)*1000</f>
        <v>43.945</v>
      </c>
      <c r="G19" s="22" t="s">
        <v>134</v>
      </c>
    </row>
    <row r="20" customFormat="false" ht="15" hidden="false" customHeight="false" outlineLevel="0" collapsed="false">
      <c r="A20" s="5" t="s">
        <v>135</v>
      </c>
      <c r="B20" s="21" t="s">
        <v>114</v>
      </c>
      <c r="C20" s="29" t="n">
        <f aca="false">IF(PowerBasis="Technology-derived",ModWTech,ModWBasis)</f>
        <v>40</v>
      </c>
      <c r="G20" s="22" t="s">
        <v>136</v>
      </c>
    </row>
    <row r="21" customFormat="false" ht="15" hidden="false" customHeight="false" outlineLevel="0" collapsed="false">
      <c r="A21" s="5" t="s">
        <v>137</v>
      </c>
      <c r="B21" s="21" t="s">
        <v>138</v>
      </c>
      <c r="C21" s="23" t="n">
        <f aca="false">ModW*ModPerM2</f>
        <v>160</v>
      </c>
      <c r="G21" s="22" t="s">
        <v>139</v>
      </c>
    </row>
    <row r="22" customFormat="false" ht="15" hidden="false" customHeight="false" outlineLevel="0" collapsed="false">
      <c r="A22" s="5" t="s">
        <v>140</v>
      </c>
      <c r="B22" s="21" t="s">
        <v>68</v>
      </c>
      <c r="C22" s="34" t="n">
        <f aca="false">ModW/(ModArea*1000)</f>
        <v>0.181818181818182</v>
      </c>
      <c r="G22" s="22" t="s">
        <v>141</v>
      </c>
    </row>
    <row r="23" customFormat="false" ht="15" hidden="false" customHeight="false" outlineLevel="0" collapsed="false">
      <c r="A23" s="5" t="s">
        <v>142</v>
      </c>
      <c r="B23" s="21" t="s">
        <v>68</v>
      </c>
      <c r="C23" s="34" t="n">
        <f aca="false">PowerDens/1000</f>
        <v>0.16</v>
      </c>
      <c r="G23" s="22" t="s">
        <v>143</v>
      </c>
    </row>
    <row r="25" customFormat="false" ht="18" hidden="false" customHeight="true" outlineLevel="0" collapsed="false">
      <c r="A25" s="7" t="s">
        <v>144</v>
      </c>
      <c r="B25" s="8"/>
      <c r="C25" s="8"/>
      <c r="D25" s="8"/>
      <c r="E25" s="8"/>
      <c r="F25" s="8"/>
      <c r="G25" s="8"/>
    </row>
    <row r="26" customFormat="false" ht="22.35" hidden="false" customHeight="false" outlineLevel="0" collapsed="false">
      <c r="A26" s="5" t="s">
        <v>145</v>
      </c>
      <c r="B26" s="21" t="s">
        <v>146</v>
      </c>
      <c r="C26" s="36" t="n">
        <f aca="false">INDEX(D26:F26,ScnIdx)</f>
        <v>52</v>
      </c>
      <c r="D26" s="31" t="n">
        <v>60</v>
      </c>
      <c r="E26" s="31" t="n">
        <v>52</v>
      </c>
      <c r="F26" s="31" t="n">
        <v>45</v>
      </c>
      <c r="G26" s="22" t="s">
        <v>147</v>
      </c>
    </row>
    <row r="27" customFormat="false" ht="15" hidden="false" customHeight="false" outlineLevel="0" collapsed="false">
      <c r="A27" s="5" t="s">
        <v>148</v>
      </c>
      <c r="B27" s="21" t="s">
        <v>68</v>
      </c>
      <c r="C27" s="34" t="n">
        <f aca="false">-TechTempCoef*(Tcell-25)</f>
        <v>0.0783</v>
      </c>
      <c r="G27" s="22" t="s">
        <v>149</v>
      </c>
    </row>
    <row r="28" customFormat="false" ht="15" hidden="false" customHeight="false" outlineLevel="0" collapsed="false">
      <c r="A28" s="5" t="s">
        <v>150</v>
      </c>
      <c r="B28" s="21" t="s">
        <v>68</v>
      </c>
      <c r="C28" s="37" t="n">
        <f aca="false">INDEX(D28:F28,ScnIdx)</f>
        <v>0.08</v>
      </c>
      <c r="D28" s="32" t="n">
        <v>0.15</v>
      </c>
      <c r="E28" s="32" t="n">
        <v>0.08</v>
      </c>
      <c r="F28" s="32" t="n">
        <v>0.04</v>
      </c>
      <c r="G28" s="22" t="s">
        <v>151</v>
      </c>
    </row>
    <row r="29" customFormat="false" ht="15" hidden="false" customHeight="false" outlineLevel="0" collapsed="false">
      <c r="A29" s="5" t="s">
        <v>152</v>
      </c>
      <c r="B29" s="21" t="s">
        <v>68</v>
      </c>
      <c r="C29" s="37" t="n">
        <f aca="false">INDEX(D29:F29,ScnIdx)</f>
        <v>0.04</v>
      </c>
      <c r="D29" s="27" t="n">
        <v>0.08</v>
      </c>
      <c r="E29" s="27" t="n">
        <v>0.04</v>
      </c>
      <c r="F29" s="27" t="n">
        <v>0.02</v>
      </c>
      <c r="G29" s="22" t="s">
        <v>153</v>
      </c>
    </row>
    <row r="30" customFormat="false" ht="15" hidden="false" customHeight="false" outlineLevel="0" collapsed="false">
      <c r="A30" s="5" t="s">
        <v>154</v>
      </c>
      <c r="B30" s="21" t="s">
        <v>68</v>
      </c>
      <c r="C30" s="37" t="n">
        <f aca="false">INDEX(D30:F30,ScnIdx)</f>
        <v>0.03</v>
      </c>
      <c r="D30" s="27" t="n">
        <v>0.05</v>
      </c>
      <c r="E30" s="27" t="n">
        <v>0.03</v>
      </c>
      <c r="F30" s="27" t="n">
        <v>0.02</v>
      </c>
      <c r="G30" s="22" t="s">
        <v>66</v>
      </c>
    </row>
    <row r="31" customFormat="false" ht="15" hidden="false" customHeight="false" outlineLevel="0" collapsed="false">
      <c r="A31" s="5" t="s">
        <v>155</v>
      </c>
      <c r="B31" s="21" t="s">
        <v>68</v>
      </c>
      <c r="C31" s="37" t="n">
        <f aca="false">INDEX(D31:F31,ScnIdx)</f>
        <v>0.03</v>
      </c>
      <c r="D31" s="27" t="n">
        <v>0.04</v>
      </c>
      <c r="E31" s="27" t="n">
        <v>0.03</v>
      </c>
      <c r="F31" s="27" t="n">
        <v>0.02</v>
      </c>
      <c r="G31" s="22" t="s">
        <v>66</v>
      </c>
    </row>
    <row r="32" customFormat="false" ht="15" hidden="false" customHeight="false" outlineLevel="0" collapsed="false">
      <c r="A32" s="5" t="s">
        <v>156</v>
      </c>
      <c r="B32" s="21" t="s">
        <v>68</v>
      </c>
      <c r="C32" s="37" t="n">
        <f aca="false">INDEX(D32:F32,ScnIdx)</f>
        <v>0.035</v>
      </c>
      <c r="D32" s="27" t="n">
        <v>0.04</v>
      </c>
      <c r="E32" s="27" t="n">
        <v>0.035</v>
      </c>
      <c r="F32" s="27" t="n">
        <v>0.025</v>
      </c>
      <c r="G32" s="22" t="s">
        <v>66</v>
      </c>
    </row>
    <row r="33" customFormat="false" ht="15" hidden="false" customHeight="false" outlineLevel="0" collapsed="false">
      <c r="A33" s="5" t="s">
        <v>157</v>
      </c>
      <c r="B33" s="21" t="s">
        <v>68</v>
      </c>
      <c r="C33" s="37" t="n">
        <f aca="false">INDEX(D33:F33,ScnIdx)</f>
        <v>0.01</v>
      </c>
      <c r="D33" s="27" t="n">
        <v>0.03</v>
      </c>
      <c r="E33" s="27" t="n">
        <v>0.01</v>
      </c>
      <c r="F33" s="27" t="n">
        <v>0.005</v>
      </c>
      <c r="G33" s="22" t="s">
        <v>66</v>
      </c>
    </row>
    <row r="34" customFormat="false" ht="22.35" hidden="false" customHeight="false" outlineLevel="0" collapsed="false">
      <c r="A34" s="5" t="s">
        <v>158</v>
      </c>
      <c r="B34" s="21" t="s">
        <v>68</v>
      </c>
      <c r="C34" s="34" t="n">
        <f aca="false">(1-LossTemp)*(1-LossSoil)*(1-LossFoot)*(1-LossRefl)*(1-LossMism)*(1-LossInv)*(1-LossAvail)</f>
        <v>0.731736340917754</v>
      </c>
      <c r="G34" s="22" t="s">
        <v>159</v>
      </c>
    </row>
    <row r="35" customFormat="false" ht="15" hidden="false" customHeight="false" outlineLevel="0" collapsed="false">
      <c r="A35" s="5" t="s">
        <v>160</v>
      </c>
      <c r="B35" s="21" t="s">
        <v>65</v>
      </c>
      <c r="C35" s="37" t="n">
        <f aca="false">INDEX(D35:F35,ScnIdx)</f>
        <v>0.002</v>
      </c>
      <c r="D35" s="27" t="n">
        <v>0.004</v>
      </c>
      <c r="E35" s="27" t="n">
        <v>0.002</v>
      </c>
      <c r="F35" s="27" t="n">
        <v>0.001</v>
      </c>
      <c r="G35" s="22" t="s">
        <v>66</v>
      </c>
    </row>
    <row r="36" customFormat="false" ht="15" hidden="false" customHeight="false" outlineLevel="0" collapsed="false">
      <c r="A36" s="5" t="s">
        <v>161</v>
      </c>
      <c r="B36" s="21" t="s">
        <v>68</v>
      </c>
      <c r="C36" s="34" t="n">
        <f aca="false">TechDeg1</f>
        <v>0.01</v>
      </c>
      <c r="G36" s="22" t="s">
        <v>162</v>
      </c>
    </row>
    <row r="37" customFormat="false" ht="15" hidden="false" customHeight="false" outlineLevel="0" collapsed="false">
      <c r="A37" s="5" t="s">
        <v>163</v>
      </c>
      <c r="B37" s="21" t="s">
        <v>65</v>
      </c>
      <c r="C37" s="34" t="n">
        <f aca="false">TechDegAnn+WearAdder</f>
        <v>0.006</v>
      </c>
      <c r="G37" s="22" t="s">
        <v>164</v>
      </c>
    </row>
    <row r="38" customFormat="false" ht="15" hidden="false" customHeight="false" outlineLevel="0" collapsed="false">
      <c r="A38" s="5" t="s">
        <v>165</v>
      </c>
      <c r="B38" s="21" t="s">
        <v>166</v>
      </c>
      <c r="C38" s="30" t="n">
        <v>20</v>
      </c>
      <c r="G38" s="22" t="s">
        <v>167</v>
      </c>
    </row>
    <row r="39" customFormat="false" ht="15" hidden="false" customHeight="false" outlineLevel="0" collapsed="false">
      <c r="A39" s="5" t="s">
        <v>168</v>
      </c>
      <c r="B39" s="21" t="s">
        <v>169</v>
      </c>
      <c r="C39" s="38" t="n">
        <v>4000</v>
      </c>
      <c r="G39" s="22" t="s">
        <v>66</v>
      </c>
    </row>
    <row r="40" customFormat="false" ht="15" hidden="false" customHeight="false" outlineLevel="0" collapsed="false">
      <c r="A40" s="5" t="s">
        <v>170</v>
      </c>
      <c r="B40" s="21" t="s">
        <v>171</v>
      </c>
      <c r="C40" s="30" t="n">
        <v>12</v>
      </c>
      <c r="G40" s="22" t="s">
        <v>66</v>
      </c>
    </row>
    <row r="41" customFormat="false" ht="15" hidden="false" customHeight="false" outlineLevel="0" collapsed="false">
      <c r="A41" s="5" t="s">
        <v>172</v>
      </c>
      <c r="B41" s="21" t="s">
        <v>173</v>
      </c>
      <c r="C41" s="27" t="n">
        <v>0.015</v>
      </c>
      <c r="G41" s="22" t="s">
        <v>174</v>
      </c>
    </row>
    <row r="43" customFormat="false" ht="18" hidden="false" customHeight="true" outlineLevel="0" collapsed="false">
      <c r="A43" s="7" t="s">
        <v>175</v>
      </c>
      <c r="B43" s="8"/>
      <c r="C43" s="8"/>
      <c r="D43" s="8"/>
      <c r="E43" s="8"/>
      <c r="F43" s="8"/>
      <c r="G43" s="8"/>
    </row>
    <row r="44" customFormat="false" ht="22.35" hidden="false" customHeight="false" outlineLevel="0" collapsed="false">
      <c r="A44" s="5" t="s">
        <v>176</v>
      </c>
      <c r="B44" s="21" t="s">
        <v>177</v>
      </c>
      <c r="C44" s="39" t="n">
        <v>9500</v>
      </c>
      <c r="G44" s="22" t="s">
        <v>178</v>
      </c>
    </row>
    <row r="45" customFormat="false" ht="15" hidden="false" customHeight="false" outlineLevel="0" collapsed="false">
      <c r="A45" s="5" t="s">
        <v>179</v>
      </c>
      <c r="B45" s="21" t="s">
        <v>177</v>
      </c>
      <c r="C45" s="39" t="n">
        <v>8500</v>
      </c>
      <c r="G45" s="22" t="s">
        <v>180</v>
      </c>
    </row>
    <row r="46" customFormat="false" ht="15" hidden="false" customHeight="false" outlineLevel="0" collapsed="false">
      <c r="A46" s="5" t="s">
        <v>181</v>
      </c>
      <c r="B46" s="21" t="s">
        <v>79</v>
      </c>
      <c r="C46" s="30" t="n">
        <v>500</v>
      </c>
      <c r="G46" s="22" t="s">
        <v>66</v>
      </c>
    </row>
    <row r="47" customFormat="false" ht="15" hidden="false" customHeight="false" outlineLevel="0" collapsed="false">
      <c r="A47" s="5" t="s">
        <v>182</v>
      </c>
      <c r="B47" s="21" t="s">
        <v>177</v>
      </c>
      <c r="C47" s="38" t="n">
        <v>0</v>
      </c>
      <c r="G47" s="22" t="s">
        <v>183</v>
      </c>
    </row>
    <row r="48" customFormat="false" ht="15" hidden="false" customHeight="false" outlineLevel="0" collapsed="false">
      <c r="A48" s="5" t="s">
        <v>184</v>
      </c>
      <c r="B48" s="21" t="s">
        <v>177</v>
      </c>
      <c r="C48" s="38" t="n">
        <v>690</v>
      </c>
      <c r="G48" s="22" t="s">
        <v>185</v>
      </c>
    </row>
    <row r="49" customFormat="false" ht="15" hidden="false" customHeight="false" outlineLevel="0" collapsed="false">
      <c r="A49" s="5" t="s">
        <v>186</v>
      </c>
      <c r="B49" s="21" t="s">
        <v>177</v>
      </c>
      <c r="C49" s="38" t="n">
        <v>650</v>
      </c>
      <c r="G49" s="22" t="s">
        <v>187</v>
      </c>
    </row>
    <row r="50" customFormat="false" ht="15" hidden="false" customHeight="false" outlineLevel="0" collapsed="false">
      <c r="A50" s="5" t="s">
        <v>188</v>
      </c>
      <c r="B50" s="21" t="s">
        <v>177</v>
      </c>
      <c r="C50" s="38" t="n">
        <v>620</v>
      </c>
      <c r="G50" s="22" t="s">
        <v>189</v>
      </c>
    </row>
    <row r="51" customFormat="false" ht="15" hidden="false" customHeight="false" outlineLevel="0" collapsed="false">
      <c r="A51" s="5" t="s">
        <v>190</v>
      </c>
      <c r="B51" s="21" t="s">
        <v>177</v>
      </c>
      <c r="C51" s="38" t="n">
        <v>590</v>
      </c>
      <c r="G51" s="22" t="s">
        <v>191</v>
      </c>
    </row>
    <row r="52" customFormat="false" ht="15" hidden="false" customHeight="false" outlineLevel="0" collapsed="false">
      <c r="A52" s="5" t="s">
        <v>192</v>
      </c>
      <c r="B52" s="21" t="s">
        <v>177</v>
      </c>
      <c r="C52" s="38" t="n">
        <v>268</v>
      </c>
      <c r="G52" s="22" t="s">
        <v>193</v>
      </c>
    </row>
    <row r="53" customFormat="false" ht="15" hidden="false" customHeight="false" outlineLevel="0" collapsed="false">
      <c r="A53" s="5" t="s">
        <v>194</v>
      </c>
      <c r="B53" s="21" t="s">
        <v>177</v>
      </c>
      <c r="C53" s="38" t="n">
        <v>150</v>
      </c>
      <c r="G53" s="22" t="s">
        <v>66</v>
      </c>
    </row>
    <row r="54" customFormat="false" ht="15" hidden="false" customHeight="false" outlineLevel="0" collapsed="false">
      <c r="A54" s="5" t="s">
        <v>195</v>
      </c>
      <c r="B54" s="21" t="s">
        <v>196</v>
      </c>
      <c r="C54" s="40" t="n">
        <v>8</v>
      </c>
      <c r="G54" s="22" t="s">
        <v>174</v>
      </c>
    </row>
    <row r="55" customFormat="false" ht="15" hidden="false" customHeight="false" outlineLevel="0" collapsed="false">
      <c r="A55" s="5" t="s">
        <v>197</v>
      </c>
      <c r="B55" s="21" t="s">
        <v>198</v>
      </c>
      <c r="C55" s="38" t="n">
        <v>25000</v>
      </c>
      <c r="G55" s="22" t="s">
        <v>199</v>
      </c>
    </row>
    <row r="56" customFormat="false" ht="15" hidden="false" customHeight="false" outlineLevel="0" collapsed="false">
      <c r="A56" s="5" t="s">
        <v>200</v>
      </c>
      <c r="B56" s="21" t="s">
        <v>201</v>
      </c>
      <c r="C56" s="30" t="n">
        <v>50</v>
      </c>
      <c r="G56" s="22" t="s">
        <v>66</v>
      </c>
    </row>
    <row r="57" customFormat="false" ht="15" hidden="false" customHeight="false" outlineLevel="0" collapsed="false">
      <c r="A57" s="5" t="s">
        <v>202</v>
      </c>
      <c r="B57" s="21" t="s">
        <v>203</v>
      </c>
      <c r="C57" s="27" t="n">
        <v>0.05</v>
      </c>
      <c r="G57" s="22" t="s">
        <v>174</v>
      </c>
    </row>
    <row r="58" customFormat="false" ht="15" hidden="false" customHeight="false" outlineLevel="0" collapsed="false">
      <c r="A58" s="5" t="s">
        <v>204</v>
      </c>
      <c r="B58" s="21" t="s">
        <v>177</v>
      </c>
      <c r="C58" s="38" t="n">
        <v>300</v>
      </c>
      <c r="G58" s="22" t="s">
        <v>205</v>
      </c>
    </row>
    <row r="59" customFormat="false" ht="15" hidden="false" customHeight="false" outlineLevel="0" collapsed="false">
      <c r="A59" s="5" t="s">
        <v>206</v>
      </c>
      <c r="B59" s="21" t="s">
        <v>177</v>
      </c>
      <c r="C59" s="38" t="n">
        <v>1200</v>
      </c>
      <c r="G59" s="22" t="s">
        <v>207</v>
      </c>
    </row>
    <row r="61" customFormat="false" ht="18" hidden="false" customHeight="true" outlineLevel="0" collapsed="false">
      <c r="A61" s="7" t="s">
        <v>208</v>
      </c>
      <c r="B61" s="8"/>
      <c r="C61" s="8"/>
      <c r="D61" s="8"/>
      <c r="E61" s="8"/>
      <c r="F61" s="8"/>
      <c r="G61" s="8"/>
    </row>
    <row r="62" customFormat="false" ht="15" hidden="false" customHeight="false" outlineLevel="0" collapsed="false">
      <c r="A62" s="5" t="s">
        <v>209</v>
      </c>
      <c r="B62" s="21" t="s">
        <v>198</v>
      </c>
      <c r="C62" s="38" t="n">
        <v>40000</v>
      </c>
      <c r="G62" s="22" t="s">
        <v>210</v>
      </c>
    </row>
    <row r="63" customFormat="false" ht="15" hidden="false" customHeight="false" outlineLevel="0" collapsed="false">
      <c r="A63" s="5" t="s">
        <v>211</v>
      </c>
      <c r="B63" s="21" t="s">
        <v>212</v>
      </c>
      <c r="C63" s="30" t="n">
        <v>3</v>
      </c>
      <c r="G63" s="22" t="s">
        <v>213</v>
      </c>
    </row>
    <row r="64" customFormat="false" ht="15" hidden="false" customHeight="false" outlineLevel="0" collapsed="false">
      <c r="A64" s="5" t="s">
        <v>214</v>
      </c>
      <c r="B64" s="21" t="s">
        <v>215</v>
      </c>
      <c r="C64" s="38" t="n">
        <v>15000</v>
      </c>
      <c r="G64" s="22" t="s">
        <v>216</v>
      </c>
    </row>
    <row r="65" customFormat="false" ht="15" hidden="false" customHeight="false" outlineLevel="0" collapsed="false">
      <c r="A65" s="5" t="s">
        <v>217</v>
      </c>
      <c r="B65" s="21" t="s">
        <v>198</v>
      </c>
      <c r="C65" s="38" t="n">
        <v>40000</v>
      </c>
      <c r="G65" s="22" t="s">
        <v>218</v>
      </c>
    </row>
    <row r="66" customFormat="false" ht="22.35" hidden="false" customHeight="false" outlineLevel="0" collapsed="false">
      <c r="A66" s="5" t="s">
        <v>219</v>
      </c>
      <c r="B66" s="21" t="s">
        <v>198</v>
      </c>
      <c r="C66" s="38" t="n">
        <v>125000</v>
      </c>
      <c r="G66" s="22" t="s">
        <v>220</v>
      </c>
    </row>
    <row r="68" customFormat="false" ht="18" hidden="false" customHeight="true" outlineLevel="0" collapsed="false">
      <c r="A68" s="7" t="s">
        <v>221</v>
      </c>
      <c r="B68" s="8"/>
      <c r="C68" s="8"/>
      <c r="D68" s="8"/>
      <c r="E68" s="8"/>
      <c r="F68" s="8"/>
      <c r="G68" s="8"/>
    </row>
    <row r="69" customFormat="false" ht="15" hidden="false" customHeight="false" outlineLevel="0" collapsed="false">
      <c r="A69" s="5" t="s">
        <v>222</v>
      </c>
      <c r="B69" s="21" t="s">
        <v>196</v>
      </c>
      <c r="C69" s="40" t="n">
        <v>40</v>
      </c>
      <c r="G69" s="22" t="s">
        <v>223</v>
      </c>
    </row>
    <row r="70" customFormat="false" ht="15" hidden="false" customHeight="false" outlineLevel="0" collapsed="false">
      <c r="A70" s="5" t="s">
        <v>224</v>
      </c>
      <c r="B70" s="21" t="s">
        <v>138</v>
      </c>
      <c r="C70" s="30" t="n">
        <v>190</v>
      </c>
      <c r="G70" s="22" t="s">
        <v>225</v>
      </c>
    </row>
    <row r="71" customFormat="false" ht="15" hidden="false" customHeight="false" outlineLevel="0" collapsed="false">
      <c r="A71" s="5" t="s">
        <v>226</v>
      </c>
      <c r="B71" s="21" t="s">
        <v>68</v>
      </c>
      <c r="C71" s="27" t="n">
        <v>0.78</v>
      </c>
      <c r="G71" s="22" t="s">
        <v>174</v>
      </c>
    </row>
    <row r="72" customFormat="false" ht="15" hidden="false" customHeight="false" outlineLevel="0" collapsed="false">
      <c r="A72" s="5" t="s">
        <v>227</v>
      </c>
      <c r="B72" s="21" t="s">
        <v>65</v>
      </c>
      <c r="C72" s="34" t="n">
        <f aca="false">TechDegAnn</f>
        <v>0.004</v>
      </c>
      <c r="G72" s="22" t="s">
        <v>228</v>
      </c>
    </row>
    <row r="73" customFormat="false" ht="15" hidden="false" customHeight="false" outlineLevel="0" collapsed="false">
      <c r="A73" s="5" t="s">
        <v>229</v>
      </c>
      <c r="B73" s="21" t="s">
        <v>173</v>
      </c>
      <c r="C73" s="27" t="n">
        <v>0.01</v>
      </c>
      <c r="G73" s="22" t="s">
        <v>174</v>
      </c>
    </row>
    <row r="74" customFormat="false" ht="15" hidden="false" customHeight="false" outlineLevel="0" collapsed="false">
      <c r="A74" s="5" t="s">
        <v>230</v>
      </c>
      <c r="B74" s="21" t="s">
        <v>196</v>
      </c>
      <c r="C74" s="40" t="n">
        <v>61</v>
      </c>
      <c r="G74" s="22" t="s">
        <v>231</v>
      </c>
    </row>
    <row r="75" customFormat="false" ht="15" hidden="false" customHeight="false" outlineLevel="0" collapsed="false">
      <c r="A75" s="5" t="s">
        <v>232</v>
      </c>
      <c r="B75" s="21" t="s">
        <v>173</v>
      </c>
      <c r="C75" s="27" t="n">
        <v>0.012</v>
      </c>
      <c r="G75" s="22" t="s">
        <v>174</v>
      </c>
    </row>
    <row r="76" customFormat="false" ht="15" hidden="false" customHeight="false" outlineLevel="0" collapsed="false">
      <c r="A76" s="5" t="s">
        <v>233</v>
      </c>
      <c r="B76" s="21" t="s">
        <v>173</v>
      </c>
      <c r="C76" s="27" t="n">
        <v>0.02</v>
      </c>
      <c r="G76" s="22" t="s">
        <v>174</v>
      </c>
    </row>
    <row r="78" customFormat="false" ht="18" hidden="false" customHeight="true" outlineLevel="0" collapsed="false">
      <c r="A78" s="7" t="s">
        <v>234</v>
      </c>
      <c r="B78" s="8"/>
      <c r="C78" s="8"/>
      <c r="D78" s="8"/>
      <c r="E78" s="8"/>
      <c r="F78" s="8"/>
      <c r="G78" s="8"/>
    </row>
    <row r="79" customFormat="false" ht="22.35" hidden="false" customHeight="false" outlineLevel="0" collapsed="false">
      <c r="A79" s="5" t="s">
        <v>235</v>
      </c>
      <c r="B79" s="21" t="s">
        <v>68</v>
      </c>
      <c r="C79" s="27" t="n">
        <v>0.089</v>
      </c>
      <c r="G79" s="22" t="s">
        <v>236</v>
      </c>
    </row>
    <row r="80" customFormat="false" ht="15" hidden="false" customHeight="false" outlineLevel="0" collapsed="false">
      <c r="A80" s="5" t="s">
        <v>237</v>
      </c>
      <c r="B80" s="21" t="s">
        <v>68</v>
      </c>
      <c r="C80" s="27" t="n">
        <v>0.4</v>
      </c>
      <c r="G80" s="22" t="s">
        <v>238</v>
      </c>
    </row>
    <row r="81" customFormat="false" ht="15" hidden="false" customHeight="false" outlineLevel="0" collapsed="false">
      <c r="A81" s="5" t="s">
        <v>239</v>
      </c>
      <c r="B81" s="21" t="s">
        <v>240</v>
      </c>
      <c r="C81" s="41" t="n">
        <v>0.71</v>
      </c>
      <c r="G81" s="22" t="s">
        <v>241</v>
      </c>
    </row>
    <row r="82" customFormat="false" ht="15" hidden="false" customHeight="false" outlineLevel="0" collapsed="false">
      <c r="A82" s="5" t="s">
        <v>242</v>
      </c>
      <c r="B82" s="21" t="s">
        <v>243</v>
      </c>
      <c r="C82" s="42" t="n">
        <v>4</v>
      </c>
      <c r="G82" s="22" t="s">
        <v>244</v>
      </c>
    </row>
  </sheetData>
  <dataValidations count="2">
    <dataValidation allowBlank="false" errorStyle="stop" operator="between" showDropDown="false" showErrorMessage="false" showInputMessage="false" sqref="C6" type="list">
      <formula1>'Module Tech'!$B$6:$B$8</formula1>
      <formula2>0</formula2>
    </dataValidation>
    <dataValidation allowBlank="false" errorStyle="stop" operator="between" showDropDown="false" showErrorMessage="false" showInputMessage="false" sqref="C7" type="list">
      <formula1>"Design basis (40 W per module),Technology-derived"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K1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30"/>
    <col collapsed="false" customWidth="true" hidden="false" outlineLevel="0" max="6" min="5" style="0" width="13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44"/>
    <col collapsed="false" customWidth="true" hidden="false" outlineLevel="0" max="11" min="11" style="0" width="60"/>
  </cols>
  <sheetData>
    <row r="1" customFormat="false" ht="25.5" hidden="false" customHeight="true" outlineLevel="0" collapsed="false">
      <c r="A1" s="16" t="s">
        <v>245</v>
      </c>
    </row>
    <row r="2" customFormat="false" ht="15" hidden="false" customHeight="false" outlineLevel="0" collapsed="false">
      <c r="A2" s="17" t="s">
        <v>246</v>
      </c>
    </row>
    <row r="5" customFormat="false" ht="35.05" hidden="false" customHeight="false" outlineLevel="0" collapsed="false">
      <c r="A5" s="18"/>
      <c r="B5" s="19" t="s">
        <v>247</v>
      </c>
      <c r="C5" s="19" t="s">
        <v>248</v>
      </c>
      <c r="D5" s="19" t="s">
        <v>249</v>
      </c>
      <c r="E5" s="19" t="s">
        <v>250</v>
      </c>
      <c r="F5" s="19" t="s">
        <v>251</v>
      </c>
      <c r="G5" s="19" t="s">
        <v>252</v>
      </c>
      <c r="H5" s="19" t="s">
        <v>253</v>
      </c>
      <c r="I5" s="19" t="s">
        <v>254</v>
      </c>
      <c r="J5" s="19" t="s">
        <v>255</v>
      </c>
      <c r="K5" s="19" t="s">
        <v>256</v>
      </c>
    </row>
    <row r="6" customFormat="false" ht="45" hidden="false" customHeight="true" outlineLevel="0" collapsed="false">
      <c r="B6" s="3" t="s">
        <v>257</v>
      </c>
      <c r="C6" s="27" t="n">
        <v>0.233</v>
      </c>
      <c r="D6" s="22" t="s">
        <v>258</v>
      </c>
      <c r="E6" s="27" t="n">
        <v>0.212</v>
      </c>
      <c r="F6" s="43" t="n">
        <v>-0.0035</v>
      </c>
      <c r="G6" s="27" t="n">
        <v>0.02</v>
      </c>
      <c r="H6" s="27" t="n">
        <v>0.005</v>
      </c>
      <c r="I6" s="40" t="n">
        <v>13.8</v>
      </c>
      <c r="J6" s="22" t="s">
        <v>259</v>
      </c>
      <c r="K6" s="22" t="s">
        <v>260</v>
      </c>
    </row>
    <row r="7" customFormat="false" ht="45" hidden="false" customHeight="true" outlineLevel="0" collapsed="false">
      <c r="B7" s="3" t="s">
        <v>108</v>
      </c>
      <c r="C7" s="27" t="n">
        <v>0.258</v>
      </c>
      <c r="D7" s="22" t="s">
        <v>261</v>
      </c>
      <c r="E7" s="27" t="n">
        <v>0.235</v>
      </c>
      <c r="F7" s="43" t="n">
        <v>-0.0029</v>
      </c>
      <c r="G7" s="27" t="n">
        <v>0.01</v>
      </c>
      <c r="H7" s="27" t="n">
        <v>0.004</v>
      </c>
      <c r="I7" s="40" t="n">
        <v>14.2</v>
      </c>
      <c r="J7" s="22" t="s">
        <v>262</v>
      </c>
      <c r="K7" s="22" t="s">
        <v>263</v>
      </c>
    </row>
    <row r="8" customFormat="false" ht="45" hidden="false" customHeight="true" outlineLevel="0" collapsed="false">
      <c r="B8" s="3" t="s">
        <v>264</v>
      </c>
      <c r="C8" s="27" t="n">
        <v>0.258</v>
      </c>
      <c r="D8" s="22" t="s">
        <v>265</v>
      </c>
      <c r="E8" s="27" t="n">
        <v>0.24</v>
      </c>
      <c r="F8" s="43" t="n">
        <v>-0.0025</v>
      </c>
      <c r="G8" s="27" t="n">
        <v>0.01</v>
      </c>
      <c r="H8" s="27" t="n">
        <v>0.003</v>
      </c>
      <c r="I8" s="44" t="s">
        <v>266</v>
      </c>
      <c r="J8" s="22" t="s">
        <v>267</v>
      </c>
      <c r="K8" s="22" t="s">
        <v>268</v>
      </c>
    </row>
    <row r="11" customFormat="false" ht="18" hidden="false" customHeight="true" outlineLevel="0" collapsed="false">
      <c r="A11" s="7" t="s">
        <v>269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customFormat="false" ht="35.05" hidden="false" customHeight="false" outlineLevel="0" collapsed="false">
      <c r="A12" s="18"/>
      <c r="B12" s="19" t="s">
        <v>247</v>
      </c>
      <c r="C12" s="19" t="s">
        <v>148</v>
      </c>
      <c r="D12" s="19" t="s">
        <v>270</v>
      </c>
      <c r="E12" s="19" t="s">
        <v>271</v>
      </c>
      <c r="F12" s="19" t="s">
        <v>272</v>
      </c>
      <c r="G12" s="19" t="s">
        <v>273</v>
      </c>
      <c r="H12" s="19" t="s">
        <v>274</v>
      </c>
      <c r="I12" s="19" t="s">
        <v>275</v>
      </c>
      <c r="J12" s="19" t="s">
        <v>276</v>
      </c>
      <c r="K12" s="19"/>
    </row>
    <row r="13" customFormat="false" ht="15" hidden="false" customHeight="false" outlineLevel="0" collapsed="false">
      <c r="B13" s="4" t="str">
        <f aca="false">B6</f>
        <v>Mono PERC (p-type)</v>
      </c>
      <c r="C13" s="34" t="n">
        <f aca="false">-F6*(Tcell-25)</f>
        <v>0.0945</v>
      </c>
      <c r="D13" s="34" t="n">
        <f aca="false">(1-C13)*(1-LossSoil)*(1-LossFoot)*(1-LossRefl)*(1-LossMism)*(1-LossInv)*(1-LossAvail)</f>
        <v>0.718875183574944</v>
      </c>
      <c r="E13" s="23" t="n">
        <f aca="false">SunYear*D13*(1-ShadeLoss)</f>
        <v>1321.60889249152</v>
      </c>
      <c r="F13" s="23" t="n">
        <f aca="false">E13*PilotKWp*(1-G6)</f>
        <v>4144.56548685341</v>
      </c>
      <c r="G13" s="23" t="n">
        <f aca="false">F13*SUMPRODUCT((1-H6-WearAdder)^(ROW($A$1:$A$20)-1))</f>
        <v>77603.8171029843</v>
      </c>
      <c r="H13" s="29" t="n">
        <f aca="false">ModArea*E6*(1-WalkPackLoss)*1000</f>
        <v>39.644</v>
      </c>
      <c r="I13" s="23" t="n">
        <f aca="false">H13*ModPerM2</f>
        <v>158.576</v>
      </c>
      <c r="J13" s="22" t="s">
        <v>277</v>
      </c>
    </row>
    <row r="14" customFormat="false" ht="22.35" hidden="false" customHeight="false" outlineLevel="0" collapsed="false">
      <c r="B14" s="4" t="str">
        <f aca="false">B7</f>
        <v>TOPCon (n-type)</v>
      </c>
      <c r="C14" s="34" t="n">
        <f aca="false">-F7*(Tcell-25)</f>
        <v>0.0783</v>
      </c>
      <c r="D14" s="34" t="n">
        <f aca="false">(1-C14)*(1-LossSoil)*(1-LossFoot)*(1-LossRefl)*(1-LossMism)*(1-LossInv)*(1-LossAvail)</f>
        <v>0.731736340917754</v>
      </c>
      <c r="E14" s="23" t="n">
        <f aca="false">SunYear*D14*(1-ShadeLoss)</f>
        <v>1345.25335859684</v>
      </c>
      <c r="F14" s="23" t="n">
        <f aca="false">E14*PilotKWp*(1-G7)</f>
        <v>4261.76264003477</v>
      </c>
      <c r="G14" s="23" t="n">
        <f aca="false">F14*SUMPRODUCT((1-H7-WearAdder)^(ROW($A$1:$A$20)-1))</f>
        <v>80547.3704731247</v>
      </c>
      <c r="H14" s="29" t="n">
        <f aca="false">ModArea*E7*(1-WalkPackLoss)*1000</f>
        <v>43.945</v>
      </c>
      <c r="I14" s="23" t="n">
        <f aca="false">H14*ModPerM2</f>
        <v>175.78</v>
      </c>
      <c r="J14" s="22" t="s">
        <v>278</v>
      </c>
    </row>
    <row r="15" customFormat="false" ht="22.35" hidden="false" customHeight="false" outlineLevel="0" collapsed="false">
      <c r="B15" s="4" t="str">
        <f aca="false">B8</f>
        <v>HJT (n-type)</v>
      </c>
      <c r="C15" s="34" t="n">
        <f aca="false">-F8*(Tcell-25)</f>
        <v>0.0675</v>
      </c>
      <c r="D15" s="34" t="n">
        <f aca="false">(1-C15)*(1-LossSoil)*(1-LossFoot)*(1-LossRefl)*(1-LossMism)*(1-LossInv)*(1-LossAvail)</f>
        <v>0.74031044581296</v>
      </c>
      <c r="E15" s="23" t="n">
        <f aca="false">SunYear*D15*(1-ShadeLoss)</f>
        <v>1361.01633600038</v>
      </c>
      <c r="F15" s="23" t="n">
        <f aca="false">E15*PilotKWp*(1-G8)</f>
        <v>4311.6997524492</v>
      </c>
      <c r="G15" s="23" t="n">
        <f aca="false">F15*SUMPRODUCT((1-H8-WearAdder)^(ROW($A$1:$A$20)-1))</f>
        <v>82258.1937172358</v>
      </c>
      <c r="H15" s="29" t="n">
        <f aca="false">ModArea*E8*(1-WalkPackLoss)*1000</f>
        <v>44.88</v>
      </c>
      <c r="I15" s="23" t="n">
        <f aca="false">H15*ModPerM2</f>
        <v>179.52</v>
      </c>
      <c r="J15" s="22" t="s">
        <v>279</v>
      </c>
    </row>
    <row r="17" customFormat="false" ht="15" hidden="false" customHeight="true" outlineLevel="0" collapsed="false">
      <c r="B17" s="45" t="s">
        <v>280</v>
      </c>
      <c r="C17" s="45"/>
      <c r="D17" s="45"/>
      <c r="E17" s="45"/>
      <c r="F17" s="45"/>
      <c r="G17" s="45"/>
      <c r="H17" s="45"/>
      <c r="I17" s="45"/>
      <c r="J17" s="45"/>
      <c r="K17" s="45"/>
    </row>
    <row r="18" customFormat="false" ht="15" hidden="false" customHeight="false" outlineLevel="0" collapsed="false">
      <c r="B18" s="45"/>
      <c r="C18" s="45"/>
      <c r="D18" s="45"/>
      <c r="E18" s="45"/>
      <c r="F18" s="45"/>
      <c r="G18" s="45"/>
      <c r="H18" s="45"/>
      <c r="I18" s="45"/>
      <c r="J18" s="45"/>
      <c r="K18" s="45"/>
    </row>
  </sheetData>
  <mergeCells count="1">
    <mergeCell ref="B17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33"/>
    <pageSetUpPr fitToPage="false"/>
  </sheetPr>
  <dimension ref="A1:Q1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14" min="3" style="0" width="7.5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70"/>
  </cols>
  <sheetData>
    <row r="1" customFormat="false" ht="25.5" hidden="false" customHeight="true" outlineLevel="0" collapsed="false">
      <c r="A1" s="16" t="s">
        <v>281</v>
      </c>
    </row>
    <row r="2" customFormat="false" ht="15" hidden="false" customHeight="false" outlineLevel="0" collapsed="false">
      <c r="A2" s="17" t="s">
        <v>282</v>
      </c>
    </row>
    <row r="5" customFormat="false" ht="15" hidden="false" customHeight="false" outlineLevel="0" collapsed="false">
      <c r="A5" s="18"/>
      <c r="B5" s="19" t="s">
        <v>283</v>
      </c>
      <c r="C5" s="19" t="s">
        <v>284</v>
      </c>
      <c r="D5" s="19" t="s">
        <v>285</v>
      </c>
      <c r="E5" s="19" t="s">
        <v>286</v>
      </c>
      <c r="F5" s="19" t="s">
        <v>287</v>
      </c>
      <c r="G5" s="19" t="s">
        <v>288</v>
      </c>
      <c r="H5" s="19" t="s">
        <v>289</v>
      </c>
      <c r="I5" s="19" t="s">
        <v>290</v>
      </c>
      <c r="J5" s="19" t="s">
        <v>291</v>
      </c>
      <c r="K5" s="19" t="s">
        <v>292</v>
      </c>
      <c r="L5" s="19" t="s">
        <v>293</v>
      </c>
      <c r="M5" s="19" t="s">
        <v>294</v>
      </c>
      <c r="N5" s="19" t="s">
        <v>295</v>
      </c>
      <c r="O5" s="19" t="s">
        <v>296</v>
      </c>
      <c r="P5" s="19" t="s">
        <v>297</v>
      </c>
      <c r="Q5" s="19" t="s">
        <v>298</v>
      </c>
    </row>
    <row r="6" customFormat="false" ht="15" hidden="false" customHeight="false" outlineLevel="0" collapsed="false">
      <c r="B6" s="3" t="s">
        <v>299</v>
      </c>
      <c r="C6" s="46" t="n">
        <v>31</v>
      </c>
      <c r="D6" s="46" t="n">
        <v>28</v>
      </c>
      <c r="E6" s="46" t="n">
        <v>31</v>
      </c>
      <c r="F6" s="46" t="n">
        <v>30</v>
      </c>
      <c r="G6" s="46" t="n">
        <v>31</v>
      </c>
      <c r="H6" s="46" t="n">
        <v>30</v>
      </c>
      <c r="I6" s="46" t="n">
        <v>31</v>
      </c>
      <c r="J6" s="46" t="n">
        <v>31</v>
      </c>
      <c r="K6" s="46" t="n">
        <v>30</v>
      </c>
      <c r="L6" s="46" t="n">
        <v>31</v>
      </c>
      <c r="M6" s="46" t="n">
        <v>30</v>
      </c>
      <c r="N6" s="46" t="n">
        <v>31</v>
      </c>
    </row>
    <row r="7" customFormat="false" ht="22.35" hidden="false" customHeight="false" outlineLevel="0" collapsed="false">
      <c r="B7" s="3" t="s">
        <v>300</v>
      </c>
      <c r="C7" s="42" t="n">
        <v>4.8</v>
      </c>
      <c r="D7" s="42" t="n">
        <v>5.6</v>
      </c>
      <c r="E7" s="42" t="n">
        <v>6.3</v>
      </c>
      <c r="F7" s="42" t="n">
        <v>6.7</v>
      </c>
      <c r="G7" s="42" t="n">
        <v>6.7</v>
      </c>
      <c r="H7" s="42" t="n">
        <v>4.6</v>
      </c>
      <c r="I7" s="42" t="n">
        <v>3.7</v>
      </c>
      <c r="J7" s="42" t="n">
        <v>3.8</v>
      </c>
      <c r="K7" s="42" t="n">
        <v>4.5</v>
      </c>
      <c r="L7" s="42" t="n">
        <v>5.1</v>
      </c>
      <c r="M7" s="42" t="n">
        <v>4.8</v>
      </c>
      <c r="N7" s="42" t="n">
        <v>4.6</v>
      </c>
      <c r="O7" s="23" t="n">
        <f aca="false">SUMPRODUCT(C7:N7,$C$6:$N$6)</f>
        <v>1859.8</v>
      </c>
      <c r="P7" s="33" t="n">
        <f aca="false">O7/365</f>
        <v>5.09534246575343</v>
      </c>
      <c r="Q7" s="22" t="s">
        <v>301</v>
      </c>
    </row>
    <row r="8" customFormat="false" ht="15" hidden="false" customHeight="false" outlineLevel="0" collapsed="false">
      <c r="B8" s="3" t="s">
        <v>53</v>
      </c>
      <c r="C8" s="42" t="n">
        <v>5.4</v>
      </c>
      <c r="D8" s="42" t="n">
        <v>6.2</v>
      </c>
      <c r="E8" s="42" t="n">
        <v>6.6</v>
      </c>
      <c r="F8" s="42" t="n">
        <v>6.5</v>
      </c>
      <c r="G8" s="42" t="n">
        <v>6</v>
      </c>
      <c r="H8" s="42" t="n">
        <v>4.8</v>
      </c>
      <c r="I8" s="42" t="n">
        <v>4.3</v>
      </c>
      <c r="J8" s="42" t="n">
        <v>4.6</v>
      </c>
      <c r="K8" s="42" t="n">
        <v>5</v>
      </c>
      <c r="L8" s="42" t="n">
        <v>4.8</v>
      </c>
      <c r="M8" s="42" t="n">
        <v>4.6</v>
      </c>
      <c r="N8" s="42" t="n">
        <v>4.9</v>
      </c>
      <c r="O8" s="23" t="n">
        <f aca="false">SUMPRODUCT(C8:N8,$C$6:$N$6)</f>
        <v>1935.2</v>
      </c>
      <c r="P8" s="33" t="n">
        <f aca="false">O8/365</f>
        <v>5.30191780821918</v>
      </c>
      <c r="Q8" s="22" t="s">
        <v>302</v>
      </c>
    </row>
    <row r="9" customFormat="false" ht="15" hidden="false" customHeight="false" outlineLevel="0" collapsed="false">
      <c r="B9" s="3" t="s">
        <v>303</v>
      </c>
      <c r="C9" s="42" t="n">
        <v>5</v>
      </c>
      <c r="D9" s="42" t="n">
        <v>6</v>
      </c>
      <c r="E9" s="42" t="n">
        <v>6.6</v>
      </c>
      <c r="F9" s="42" t="n">
        <v>6.7</v>
      </c>
      <c r="G9" s="42" t="n">
        <v>6.4</v>
      </c>
      <c r="H9" s="42" t="n">
        <v>5.6</v>
      </c>
      <c r="I9" s="42" t="n">
        <v>5.1</v>
      </c>
      <c r="J9" s="42" t="n">
        <v>5.3</v>
      </c>
      <c r="K9" s="42" t="n">
        <v>5.4</v>
      </c>
      <c r="L9" s="42" t="n">
        <v>4.6</v>
      </c>
      <c r="M9" s="42" t="n">
        <v>4</v>
      </c>
      <c r="N9" s="42" t="n">
        <v>4.1</v>
      </c>
      <c r="O9" s="23" t="n">
        <f aca="false">SUMPRODUCT(C9:N9,$C$6:$N$6)</f>
        <v>1969.1</v>
      </c>
      <c r="P9" s="33" t="n">
        <f aca="false">O9/365</f>
        <v>5.39479452054795</v>
      </c>
      <c r="Q9" s="22" t="s">
        <v>302</v>
      </c>
    </row>
    <row r="10" customFormat="false" ht="15" hidden="false" customHeight="false" outlineLevel="0" collapsed="false">
      <c r="B10" s="3" t="s">
        <v>304</v>
      </c>
      <c r="C10" s="42" t="n">
        <v>5</v>
      </c>
      <c r="D10" s="42" t="n">
        <v>5.8</v>
      </c>
      <c r="E10" s="42" t="n">
        <v>6.4</v>
      </c>
      <c r="F10" s="42" t="n">
        <v>6.7</v>
      </c>
      <c r="G10" s="42" t="n">
        <v>6.6</v>
      </c>
      <c r="H10" s="42" t="n">
        <v>5.2</v>
      </c>
      <c r="I10" s="42" t="n">
        <v>4.5</v>
      </c>
      <c r="J10" s="42" t="n">
        <v>4.6</v>
      </c>
      <c r="K10" s="42" t="n">
        <v>4.9</v>
      </c>
      <c r="L10" s="42" t="n">
        <v>4.9</v>
      </c>
      <c r="M10" s="42" t="n">
        <v>4.7</v>
      </c>
      <c r="N10" s="42" t="n">
        <v>4.6</v>
      </c>
      <c r="O10" s="23" t="n">
        <f aca="false">SUMPRODUCT(C10:N10,$C$6:$N$6)</f>
        <v>1942</v>
      </c>
      <c r="P10" s="33" t="n">
        <f aca="false">O10/365</f>
        <v>5.32054794520548</v>
      </c>
      <c r="Q10" s="22" t="s">
        <v>302</v>
      </c>
    </row>
    <row r="11" customFormat="false" ht="15" hidden="false" customHeight="false" outlineLevel="0" collapsed="false">
      <c r="B11" s="3" t="s">
        <v>305</v>
      </c>
      <c r="C11" s="42" t="n">
        <v>3.6</v>
      </c>
      <c r="D11" s="42" t="n">
        <v>4.6</v>
      </c>
      <c r="E11" s="42" t="n">
        <v>5.8</v>
      </c>
      <c r="F11" s="42" t="n">
        <v>6.7</v>
      </c>
      <c r="G11" s="42" t="n">
        <v>7</v>
      </c>
      <c r="H11" s="42" t="n">
        <v>6.4</v>
      </c>
      <c r="I11" s="42" t="n">
        <v>5.4</v>
      </c>
      <c r="J11" s="42" t="n">
        <v>5.1</v>
      </c>
      <c r="K11" s="42" t="n">
        <v>5.3</v>
      </c>
      <c r="L11" s="42" t="n">
        <v>4.9</v>
      </c>
      <c r="M11" s="42" t="n">
        <v>4</v>
      </c>
      <c r="N11" s="42" t="n">
        <v>3.4</v>
      </c>
      <c r="O11" s="23" t="n">
        <f aca="false">SUMPRODUCT(C11:N11,$C$6:$N$6)</f>
        <v>1892</v>
      </c>
      <c r="P11" s="33" t="n">
        <f aca="false">O11/365</f>
        <v>5.18356164383562</v>
      </c>
      <c r="Q11" s="22" t="s">
        <v>302</v>
      </c>
    </row>
    <row r="12" customFormat="false" ht="15" hidden="false" customHeight="false" outlineLevel="0" collapsed="false">
      <c r="B12" s="3" t="s">
        <v>306</v>
      </c>
      <c r="C12" s="42" t="n">
        <v>5.2</v>
      </c>
      <c r="D12" s="42" t="n">
        <v>6</v>
      </c>
      <c r="E12" s="42" t="n">
        <v>6.6</v>
      </c>
      <c r="F12" s="42" t="n">
        <v>6.8</v>
      </c>
      <c r="G12" s="42" t="n">
        <v>6.7</v>
      </c>
      <c r="H12" s="42" t="n">
        <v>4.8</v>
      </c>
      <c r="I12" s="42" t="n">
        <v>3.8</v>
      </c>
      <c r="J12" s="42" t="n">
        <v>4</v>
      </c>
      <c r="K12" s="42" t="n">
        <v>4.7</v>
      </c>
      <c r="L12" s="42" t="n">
        <v>5</v>
      </c>
      <c r="M12" s="42" t="n">
        <v>4.9</v>
      </c>
      <c r="N12" s="42" t="n">
        <v>4.8</v>
      </c>
      <c r="O12" s="23" t="n">
        <f aca="false">SUMPRODUCT(C12:N12,$C$6:$N$6)</f>
        <v>1923.1</v>
      </c>
      <c r="P12" s="33" t="n">
        <f aca="false">O12/365</f>
        <v>5.26876712328767</v>
      </c>
      <c r="Q12" s="22" t="s">
        <v>302</v>
      </c>
    </row>
    <row r="13" customFormat="false" ht="15" hidden="false" customHeight="false" outlineLevel="0" collapsed="false">
      <c r="B13" s="3" t="s">
        <v>307</v>
      </c>
      <c r="C13" s="42" t="n">
        <v>4.6</v>
      </c>
      <c r="D13" s="42" t="n">
        <v>5.4</v>
      </c>
      <c r="E13" s="42" t="n">
        <v>6.3</v>
      </c>
      <c r="F13" s="42" t="n">
        <v>6.9</v>
      </c>
      <c r="G13" s="42" t="n">
        <v>7.1</v>
      </c>
      <c r="H13" s="42" t="n">
        <v>6.2</v>
      </c>
      <c r="I13" s="42" t="n">
        <v>4.8</v>
      </c>
      <c r="J13" s="42" t="n">
        <v>4.6</v>
      </c>
      <c r="K13" s="42" t="n">
        <v>5.4</v>
      </c>
      <c r="L13" s="42" t="n">
        <v>5.3</v>
      </c>
      <c r="M13" s="42" t="n">
        <v>4.6</v>
      </c>
      <c r="N13" s="42" t="n">
        <v>4.3</v>
      </c>
      <c r="O13" s="23" t="n">
        <f aca="false">SUMPRODUCT(C13:N13,$C$6:$N$6)</f>
        <v>1991.2</v>
      </c>
      <c r="P13" s="33" t="n">
        <f aca="false">O13/365</f>
        <v>5.45534246575342</v>
      </c>
      <c r="Q13" s="22" t="s">
        <v>302</v>
      </c>
    </row>
    <row r="14" customFormat="false" ht="15" hidden="false" customHeight="false" outlineLevel="0" collapsed="false">
      <c r="B14" s="3" t="s">
        <v>308</v>
      </c>
      <c r="C14" s="42" t="n">
        <v>4.8</v>
      </c>
      <c r="D14" s="42" t="n">
        <v>5.6</v>
      </c>
      <c r="E14" s="42" t="n">
        <v>6.5</v>
      </c>
      <c r="F14" s="42" t="n">
        <v>7</v>
      </c>
      <c r="G14" s="42" t="n">
        <v>7.2</v>
      </c>
      <c r="H14" s="42" t="n">
        <v>6.3</v>
      </c>
      <c r="I14" s="42" t="n">
        <v>4.9</v>
      </c>
      <c r="J14" s="42" t="n">
        <v>4.8</v>
      </c>
      <c r="K14" s="42" t="n">
        <v>5.6</v>
      </c>
      <c r="L14" s="42" t="n">
        <v>5.5</v>
      </c>
      <c r="M14" s="42" t="n">
        <v>4.8</v>
      </c>
      <c r="N14" s="42" t="n">
        <v>4.5</v>
      </c>
      <c r="O14" s="23" t="n">
        <f aca="false">SUMPRODUCT(C14:N14,$C$6:$N$6)</f>
        <v>2052</v>
      </c>
      <c r="P14" s="33" t="n">
        <f aca="false">O14/365</f>
        <v>5.62191780821918</v>
      </c>
      <c r="Q14" s="22" t="s">
        <v>302</v>
      </c>
    </row>
    <row r="15" customFormat="false" ht="15" hidden="false" customHeight="false" outlineLevel="0" collapsed="false">
      <c r="B15" s="3" t="s">
        <v>309</v>
      </c>
      <c r="C15" s="42" t="n">
        <v>4.2</v>
      </c>
      <c r="D15" s="42" t="n">
        <v>4.9</v>
      </c>
      <c r="E15" s="42" t="n">
        <v>5.6</v>
      </c>
      <c r="F15" s="42" t="n">
        <v>6.1</v>
      </c>
      <c r="G15" s="42" t="n">
        <v>6</v>
      </c>
      <c r="H15" s="42" t="n">
        <v>4.8</v>
      </c>
      <c r="I15" s="42" t="n">
        <v>4.3</v>
      </c>
      <c r="J15" s="42" t="n">
        <v>4.4</v>
      </c>
      <c r="K15" s="42" t="n">
        <v>4.3</v>
      </c>
      <c r="L15" s="42" t="n">
        <v>4.4</v>
      </c>
      <c r="M15" s="42" t="n">
        <v>4.3</v>
      </c>
      <c r="N15" s="42" t="n">
        <v>4</v>
      </c>
      <c r="O15" s="23" t="n">
        <f aca="false">SUMPRODUCT(C15:N15,$C$6:$N$6)</f>
        <v>1742.1</v>
      </c>
      <c r="P15" s="33" t="n">
        <f aca="false">O15/365</f>
        <v>4.77287671232877</v>
      </c>
      <c r="Q15" s="22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33"/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6" style="0" width="16"/>
  </cols>
  <sheetData>
    <row r="1" customFormat="false" ht="25.5" hidden="false" customHeight="true" outlineLevel="0" collapsed="false">
      <c r="A1" s="16" t="s">
        <v>310</v>
      </c>
    </row>
    <row r="2" customFormat="false" ht="15" hidden="false" customHeight="false" outlineLevel="0" collapsed="false">
      <c r="A2" s="17" t="s">
        <v>311</v>
      </c>
    </row>
    <row r="4" customFormat="false" ht="18" hidden="false" customHeight="true" outlineLevel="0" collapsed="false">
      <c r="A4" s="7" t="s">
        <v>312</v>
      </c>
      <c r="B4" s="8"/>
      <c r="C4" s="8"/>
      <c r="D4" s="8"/>
      <c r="E4" s="8"/>
      <c r="F4" s="8"/>
      <c r="G4" s="8"/>
    </row>
    <row r="5" customFormat="false" ht="15" hidden="false" customHeight="false" outlineLevel="0" collapsed="false">
      <c r="A5" s="5" t="s">
        <v>313</v>
      </c>
      <c r="D5" s="47" t="n">
        <f aca="false">PilotArea</f>
        <v>20</v>
      </c>
    </row>
    <row r="6" customFormat="false" ht="15" hidden="false" customHeight="false" outlineLevel="0" collapsed="false">
      <c r="A6" s="5" t="s">
        <v>314</v>
      </c>
      <c r="D6" s="23" t="n">
        <f aca="false">PilotArea*ModPerM2</f>
        <v>80</v>
      </c>
    </row>
    <row r="7" customFormat="false" ht="15" hidden="false" customHeight="false" outlineLevel="0" collapsed="false">
      <c r="A7" s="5" t="s">
        <v>315</v>
      </c>
      <c r="D7" s="33" t="n">
        <f aca="false">PilotArea*PowerDens/1000</f>
        <v>3.2</v>
      </c>
    </row>
    <row r="8" customFormat="false" ht="15" hidden="false" customHeight="false" outlineLevel="0" collapsed="false">
      <c r="A8" s="5" t="s">
        <v>316</v>
      </c>
      <c r="D8" s="6" t="str">
        <f aca="false">IrrCity</f>
        <v>Bengaluru</v>
      </c>
    </row>
    <row r="10" customFormat="false" ht="23.85" hidden="false" customHeight="false" outlineLevel="0" collapsed="false">
      <c r="A10" s="18" t="s">
        <v>317</v>
      </c>
      <c r="B10" s="19" t="s">
        <v>318</v>
      </c>
      <c r="C10" s="19" t="s">
        <v>319</v>
      </c>
      <c r="D10" s="19" t="s">
        <v>320</v>
      </c>
      <c r="E10" s="19" t="s">
        <v>321</v>
      </c>
      <c r="F10" s="19" t="s">
        <v>322</v>
      </c>
      <c r="G10" s="19" t="s">
        <v>323</v>
      </c>
    </row>
    <row r="11" customFormat="false" ht="15" hidden="false" customHeight="false" outlineLevel="0" collapsed="false">
      <c r="A11" s="5" t="s">
        <v>284</v>
      </c>
      <c r="B11" s="23" t="n">
        <v>31</v>
      </c>
      <c r="C11" s="48" t="n">
        <f aca="false">INDEX(Irradiance!C$7:C$15,MATCH(IrrCity,Irradiance!$B$7:$B$15,0))</f>
        <v>5.4</v>
      </c>
      <c r="D11" s="29" t="n">
        <f aca="false">C11*B11</f>
        <v>167.4</v>
      </c>
      <c r="E11" s="23" t="n">
        <f aca="false">D11*PilotKWp*PR*(1-ShadeLoss)</f>
        <v>372.377696947681</v>
      </c>
      <c r="F11" s="29" t="n">
        <f aca="false">E11/PilotArea</f>
        <v>18.6188848473841</v>
      </c>
      <c r="G11" s="33" t="n">
        <f aca="false">E11/B11</f>
        <v>12.0121837725058</v>
      </c>
    </row>
    <row r="12" customFormat="false" ht="15" hidden="false" customHeight="false" outlineLevel="0" collapsed="false">
      <c r="A12" s="5" t="s">
        <v>285</v>
      </c>
      <c r="B12" s="23" t="n">
        <v>28</v>
      </c>
      <c r="C12" s="48" t="n">
        <f aca="false">INDEX(Irradiance!D$7:D$15,MATCH(IrrCity,Irradiance!$B$7:$B$15,0))</f>
        <v>6.2</v>
      </c>
      <c r="D12" s="29" t="n">
        <f aca="false">C12*B12</f>
        <v>173.6</v>
      </c>
      <c r="E12" s="23" t="n">
        <f aca="false">D12*PilotKWp*PR*(1-ShadeLoss)</f>
        <v>386.169463501299</v>
      </c>
      <c r="F12" s="29" t="n">
        <f aca="false">E12/PilotArea</f>
        <v>19.308473175065</v>
      </c>
      <c r="G12" s="33" t="n">
        <f aca="false">E12/B12</f>
        <v>13.7917665536178</v>
      </c>
    </row>
    <row r="13" customFormat="false" ht="15" hidden="false" customHeight="false" outlineLevel="0" collapsed="false">
      <c r="A13" s="5" t="s">
        <v>286</v>
      </c>
      <c r="B13" s="23" t="n">
        <v>31</v>
      </c>
      <c r="C13" s="48" t="n">
        <f aca="false">INDEX(Irradiance!E$7:E$15,MATCH(IrrCity,Irradiance!$B$7:$B$15,0))</f>
        <v>6.6</v>
      </c>
      <c r="D13" s="29" t="n">
        <f aca="false">C13*B13</f>
        <v>204.6</v>
      </c>
      <c r="E13" s="23" t="n">
        <f aca="false">D13*PilotKWp*PR*(1-ShadeLoss)</f>
        <v>455.128296269388</v>
      </c>
      <c r="F13" s="29" t="n">
        <f aca="false">E13/PilotArea</f>
        <v>22.7564148134694</v>
      </c>
      <c r="G13" s="33" t="n">
        <f aca="false">E13/B13</f>
        <v>14.6815579441738</v>
      </c>
    </row>
    <row r="14" customFormat="false" ht="15" hidden="false" customHeight="false" outlineLevel="0" collapsed="false">
      <c r="A14" s="5" t="s">
        <v>287</v>
      </c>
      <c r="B14" s="23" t="n">
        <v>30</v>
      </c>
      <c r="C14" s="48" t="n">
        <f aca="false">INDEX(Irradiance!F$7:F$15,MATCH(IrrCity,Irradiance!$B$7:$B$15,0))</f>
        <v>6.5</v>
      </c>
      <c r="D14" s="29" t="n">
        <f aca="false">C14*B14</f>
        <v>195</v>
      </c>
      <c r="E14" s="23" t="n">
        <f aca="false">D14*PilotKWp*PR*(1-ShadeLoss)</f>
        <v>433.773302896044</v>
      </c>
      <c r="F14" s="29" t="n">
        <f aca="false">E14/PilotArea</f>
        <v>21.6886651448022</v>
      </c>
      <c r="G14" s="33" t="n">
        <f aca="false">E14/B14</f>
        <v>14.4591100965348</v>
      </c>
    </row>
    <row r="15" customFormat="false" ht="15" hidden="false" customHeight="false" outlineLevel="0" collapsed="false">
      <c r="A15" s="5" t="s">
        <v>288</v>
      </c>
      <c r="B15" s="23" t="n">
        <v>31</v>
      </c>
      <c r="C15" s="48" t="n">
        <f aca="false">INDEX(Irradiance!G$7:G$15,MATCH(IrrCity,Irradiance!$B$7:$B$15,0))</f>
        <v>6</v>
      </c>
      <c r="D15" s="29" t="n">
        <f aca="false">C15*B15</f>
        <v>186</v>
      </c>
      <c r="E15" s="23" t="n">
        <f aca="false">D15*PilotKWp*PR*(1-ShadeLoss)</f>
        <v>413.752996608535</v>
      </c>
      <c r="F15" s="29" t="n">
        <f aca="false">E15/PilotArea</f>
        <v>20.6876498304267</v>
      </c>
      <c r="G15" s="33" t="n">
        <f aca="false">E15/B15</f>
        <v>13.3468708583398</v>
      </c>
    </row>
    <row r="16" customFormat="false" ht="15" hidden="false" customHeight="false" outlineLevel="0" collapsed="false">
      <c r="A16" s="5" t="s">
        <v>289</v>
      </c>
      <c r="B16" s="23" t="n">
        <v>30</v>
      </c>
      <c r="C16" s="48" t="n">
        <f aca="false">INDEX(Irradiance!H$7:H$15,MATCH(IrrCity,Irradiance!$B$7:$B$15,0))</f>
        <v>4.8</v>
      </c>
      <c r="D16" s="29" t="n">
        <f aca="false">C16*B16</f>
        <v>144</v>
      </c>
      <c r="E16" s="23" t="n">
        <f aca="false">D16*PilotKWp*PR*(1-ShadeLoss)</f>
        <v>320.324900600156</v>
      </c>
      <c r="F16" s="29" t="n">
        <f aca="false">E16/PilotArea</f>
        <v>16.0162450300078</v>
      </c>
      <c r="G16" s="33" t="n">
        <f aca="false">E16/B16</f>
        <v>10.6774966866719</v>
      </c>
    </row>
    <row r="17" customFormat="false" ht="15" hidden="false" customHeight="false" outlineLevel="0" collapsed="false">
      <c r="A17" s="5" t="s">
        <v>290</v>
      </c>
      <c r="B17" s="23" t="n">
        <v>31</v>
      </c>
      <c r="C17" s="48" t="n">
        <f aca="false">INDEX(Irradiance!I$7:I$15,MATCH(IrrCity,Irradiance!$B$7:$B$15,0))</f>
        <v>4.3</v>
      </c>
      <c r="D17" s="29" t="n">
        <f aca="false">C17*B17</f>
        <v>133.3</v>
      </c>
      <c r="E17" s="23" t="n">
        <f aca="false">D17*PilotKWp*PR*(1-ShadeLoss)</f>
        <v>296.522980902783</v>
      </c>
      <c r="F17" s="29" t="n">
        <f aca="false">E17/PilotArea</f>
        <v>14.8261490451392</v>
      </c>
      <c r="G17" s="33" t="n">
        <f aca="false">E17/B17</f>
        <v>9.56525744847687</v>
      </c>
    </row>
    <row r="18" customFormat="false" ht="15" hidden="false" customHeight="false" outlineLevel="0" collapsed="false">
      <c r="A18" s="5" t="s">
        <v>291</v>
      </c>
      <c r="B18" s="23" t="n">
        <v>31</v>
      </c>
      <c r="C18" s="48" t="n">
        <f aca="false">INDEX(Irradiance!J$7:J$15,MATCH(IrrCity,Irradiance!$B$7:$B$15,0))</f>
        <v>4.6</v>
      </c>
      <c r="D18" s="29" t="n">
        <f aca="false">C18*B18</f>
        <v>142.6</v>
      </c>
      <c r="E18" s="23" t="n">
        <f aca="false">D18*PilotKWp*PR*(1-ShadeLoss)</f>
        <v>317.21063073321</v>
      </c>
      <c r="F18" s="29" t="n">
        <f aca="false">E18/PilotArea</f>
        <v>15.8605315366605</v>
      </c>
      <c r="G18" s="33" t="n">
        <f aca="false">E18/B18</f>
        <v>10.2326009913939</v>
      </c>
    </row>
    <row r="19" customFormat="false" ht="15" hidden="false" customHeight="false" outlineLevel="0" collapsed="false">
      <c r="A19" s="5" t="s">
        <v>292</v>
      </c>
      <c r="B19" s="23" t="n">
        <v>30</v>
      </c>
      <c r="C19" s="48" t="n">
        <f aca="false">INDEX(Irradiance!K$7:K$15,MATCH(IrrCity,Irradiance!$B$7:$B$15,0))</f>
        <v>5</v>
      </c>
      <c r="D19" s="29" t="n">
        <f aca="false">C19*B19</f>
        <v>150</v>
      </c>
      <c r="E19" s="23" t="n">
        <f aca="false">D19*PilotKWp*PR*(1-ShadeLoss)</f>
        <v>333.671771458496</v>
      </c>
      <c r="F19" s="29" t="n">
        <f aca="false">E19/PilotArea</f>
        <v>16.6835885729248</v>
      </c>
      <c r="G19" s="33" t="n">
        <f aca="false">E19/B19</f>
        <v>11.1223923819499</v>
      </c>
    </row>
    <row r="20" customFormat="false" ht="15" hidden="false" customHeight="false" outlineLevel="0" collapsed="false">
      <c r="A20" s="5" t="s">
        <v>293</v>
      </c>
      <c r="B20" s="23" t="n">
        <v>31</v>
      </c>
      <c r="C20" s="48" t="n">
        <f aca="false">INDEX(Irradiance!L$7:L$15,MATCH(IrrCity,Irradiance!$B$7:$B$15,0))</f>
        <v>4.8</v>
      </c>
      <c r="D20" s="29" t="n">
        <f aca="false">C20*B20</f>
        <v>148.8</v>
      </c>
      <c r="E20" s="23" t="n">
        <f aca="false">D20*PilotKWp*PR*(1-ShadeLoss)</f>
        <v>331.002397286828</v>
      </c>
      <c r="F20" s="29" t="n">
        <f aca="false">E20/PilotArea</f>
        <v>16.5501198643414</v>
      </c>
      <c r="G20" s="33" t="n">
        <f aca="false">E20/B20</f>
        <v>10.6774966866719</v>
      </c>
    </row>
    <row r="21" customFormat="false" ht="15" hidden="false" customHeight="false" outlineLevel="0" collapsed="false">
      <c r="A21" s="5" t="s">
        <v>294</v>
      </c>
      <c r="B21" s="23" t="n">
        <v>30</v>
      </c>
      <c r="C21" s="48" t="n">
        <f aca="false">INDEX(Irradiance!M$7:M$15,MATCH(IrrCity,Irradiance!$B$7:$B$15,0))</f>
        <v>4.6</v>
      </c>
      <c r="D21" s="29" t="n">
        <f aca="false">C21*B21</f>
        <v>138</v>
      </c>
      <c r="E21" s="23" t="n">
        <f aca="false">D21*PilotKWp*PR*(1-ShadeLoss)</f>
        <v>306.978029741816</v>
      </c>
      <c r="F21" s="29" t="n">
        <f aca="false">E21/PilotArea</f>
        <v>15.3489014870908</v>
      </c>
      <c r="G21" s="33" t="n">
        <f aca="false">E21/B21</f>
        <v>10.2326009913939</v>
      </c>
    </row>
    <row r="22" customFormat="false" ht="15" hidden="false" customHeight="false" outlineLevel="0" collapsed="false">
      <c r="A22" s="5" t="s">
        <v>295</v>
      </c>
      <c r="B22" s="23" t="n">
        <v>31</v>
      </c>
      <c r="C22" s="48" t="n">
        <f aca="false">INDEX(Irradiance!N$7:N$15,MATCH(IrrCity,Irradiance!$B$7:$B$15,0))</f>
        <v>4.9</v>
      </c>
      <c r="D22" s="29" t="n">
        <f aca="false">C22*B22</f>
        <v>151.9</v>
      </c>
      <c r="E22" s="23" t="n">
        <f aca="false">D22*PilotKWp*PR*(1-ShadeLoss)</f>
        <v>337.898280563637</v>
      </c>
      <c r="F22" s="29" t="n">
        <f aca="false">E22/PilotArea</f>
        <v>16.8949140281818</v>
      </c>
      <c r="G22" s="33" t="n">
        <f aca="false">E22/B22</f>
        <v>10.8999445343109</v>
      </c>
    </row>
    <row r="23" customFormat="false" ht="15" hidden="false" customHeight="false" outlineLevel="0" collapsed="false">
      <c r="A23" s="3" t="s">
        <v>324</v>
      </c>
      <c r="B23" s="49" t="n">
        <f aca="false">SUM(B11:B22)</f>
        <v>365</v>
      </c>
      <c r="D23" s="49" t="n">
        <f aca="false">SUM(D11:D22)</f>
        <v>1935.2</v>
      </c>
      <c r="E23" s="49" t="n">
        <f aca="false">SUM(E11:E22)</f>
        <v>4304.81074750987</v>
      </c>
      <c r="F23" s="49" t="n">
        <f aca="false">SUM(F11:F22)</f>
        <v>215.240537375494</v>
      </c>
      <c r="G23" s="50" t="n">
        <f aca="false">E23/365</f>
        <v>11.7940020479723</v>
      </c>
    </row>
    <row r="24" customFormat="false" ht="15" hidden="false" customHeight="true" outlineLevel="0" collapsed="false">
      <c r="A24" s="45" t="s">
        <v>325</v>
      </c>
      <c r="B24" s="45"/>
      <c r="C24" s="45"/>
      <c r="D24" s="45"/>
      <c r="E24" s="45"/>
      <c r="F24" s="45"/>
      <c r="G24" s="45"/>
    </row>
    <row r="25" customFormat="false" ht="18" hidden="false" customHeight="true" outlineLevel="0" collapsed="false">
      <c r="A25" s="7" t="s">
        <v>326</v>
      </c>
      <c r="B25" s="8"/>
      <c r="C25" s="8"/>
      <c r="D25" s="8"/>
      <c r="E25" s="8"/>
      <c r="F25" s="8"/>
      <c r="G25" s="8"/>
    </row>
    <row r="26" customFormat="false" ht="15" hidden="false" customHeight="false" outlineLevel="0" collapsed="false">
      <c r="A26" s="51" t="s">
        <v>327</v>
      </c>
      <c r="B26" s="51"/>
      <c r="C26" s="51"/>
      <c r="D26" s="36" t="n">
        <f aca="false">SunYear*PR*(1-ShadeLoss)</f>
        <v>1345.25335859684</v>
      </c>
    </row>
    <row r="27" customFormat="false" ht="15" hidden="false" customHeight="false" outlineLevel="0" collapsed="false">
      <c r="A27" s="51" t="s">
        <v>328</v>
      </c>
      <c r="B27" s="51"/>
      <c r="C27" s="51"/>
      <c r="D27" s="50" t="n">
        <f aca="false">KWhPerM2/365</f>
        <v>0.589700102398613</v>
      </c>
    </row>
    <row r="28" customFormat="false" ht="15" hidden="false" customHeight="false" outlineLevel="0" collapsed="false">
      <c r="A28" s="51" t="s">
        <v>329</v>
      </c>
      <c r="B28" s="51"/>
      <c r="C28" s="51"/>
      <c r="D28" s="36" t="n">
        <f aca="false">MAX(E11:E22)</f>
        <v>455.128296269388</v>
      </c>
    </row>
    <row r="29" customFormat="false" ht="15" hidden="false" customHeight="false" outlineLevel="0" collapsed="false">
      <c r="A29" s="51" t="s">
        <v>330</v>
      </c>
      <c r="B29" s="51"/>
      <c r="C29" s="51"/>
      <c r="D29" s="36" t="n">
        <f aca="false">MIN(E11:E22)</f>
        <v>296.522980902783</v>
      </c>
    </row>
    <row r="30" customFormat="false" ht="15" hidden="false" customHeight="false" outlineLevel="0" collapsed="false">
      <c r="A30" s="51" t="s">
        <v>331</v>
      </c>
      <c r="B30" s="51"/>
      <c r="C30" s="51"/>
      <c r="D30" s="36" t="n">
        <f aca="false">PilotKWh1*GridEF</f>
        <v>3056.41563073201</v>
      </c>
    </row>
    <row r="31" customFormat="false" ht="15" hidden="false" customHeight="false" outlineLevel="0" collapsed="false">
      <c r="A31" s="51" t="s">
        <v>332</v>
      </c>
      <c r="B31" s="51"/>
      <c r="C31" s="51"/>
      <c r="D31" s="36" t="n">
        <f aca="false">PilotArea*PlasticLW</f>
        <v>80</v>
      </c>
    </row>
  </sheetData>
  <mergeCells count="7">
    <mergeCell ref="A24:G24"/>
    <mergeCell ref="A26:C26"/>
    <mergeCell ref="A27:C27"/>
    <mergeCell ref="A28:C28"/>
    <mergeCell ref="A29:C29"/>
    <mergeCell ref="A30:C30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2935"/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7" min="6" style="0" width="15"/>
    <col collapsed="false" customWidth="true" hidden="false" outlineLevel="0" max="8" min="8" style="0" width="48"/>
  </cols>
  <sheetData>
    <row r="1" customFormat="false" ht="25.5" hidden="false" customHeight="true" outlineLevel="0" collapsed="false">
      <c r="A1" s="16" t="s">
        <v>333</v>
      </c>
    </row>
    <row r="2" customFormat="false" ht="15" hidden="false" customHeight="false" outlineLevel="0" collapsed="false">
      <c r="A2" s="17" t="s">
        <v>334</v>
      </c>
    </row>
    <row r="4" customFormat="false" ht="23.85" hidden="false" customHeight="false" outlineLevel="0" collapsed="false">
      <c r="A4" s="18" t="s">
        <v>28</v>
      </c>
      <c r="B4" s="19" t="s">
        <v>335</v>
      </c>
      <c r="C4" s="19" t="s">
        <v>29</v>
      </c>
      <c r="D4" s="19" t="s">
        <v>336</v>
      </c>
      <c r="E4" s="19" t="s">
        <v>337</v>
      </c>
      <c r="F4" s="19" t="s">
        <v>338</v>
      </c>
      <c r="G4" s="19" t="s">
        <v>339</v>
      </c>
      <c r="H4" s="19" t="s">
        <v>340</v>
      </c>
    </row>
    <row r="5" customFormat="false" ht="15" hidden="false" customHeight="false" outlineLevel="0" collapsed="false">
      <c r="A5" s="5" t="s">
        <v>341</v>
      </c>
      <c r="B5" s="42" t="n">
        <v>1</v>
      </c>
      <c r="C5" s="21" t="s">
        <v>342</v>
      </c>
      <c r="D5" s="52" t="n">
        <f aca="false">DesignLump</f>
        <v>40000</v>
      </c>
      <c r="E5" s="53" t="n">
        <f aca="false">B5*D5</f>
        <v>40000</v>
      </c>
      <c r="F5" s="53" t="n">
        <f aca="false">E5</f>
        <v>40000</v>
      </c>
      <c r="G5" s="53" t="n">
        <f aca="false">E5-F5</f>
        <v>0</v>
      </c>
      <c r="H5" s="21" t="s">
        <v>343</v>
      </c>
    </row>
    <row r="6" customFormat="false" ht="15" hidden="false" customHeight="false" outlineLevel="0" collapsed="false">
      <c r="A6" s="5" t="s">
        <v>344</v>
      </c>
      <c r="B6" s="29" t="n">
        <f aca="false">PilotArea</f>
        <v>20</v>
      </c>
      <c r="C6" s="21" t="s">
        <v>79</v>
      </c>
      <c r="D6" s="52" t="n">
        <f aca="false">IF(BuildType="New walkway",CivilNew,CivilOverlay)</f>
        <v>268</v>
      </c>
      <c r="E6" s="53" t="n">
        <f aca="false">B6*D6</f>
        <v>5360</v>
      </c>
      <c r="F6" s="53" t="n">
        <v>0</v>
      </c>
      <c r="G6" s="53" t="n">
        <f aca="false">E6-F6</f>
        <v>5360</v>
      </c>
      <c r="H6" s="21"/>
    </row>
    <row r="7" customFormat="false" ht="15" hidden="false" customHeight="false" outlineLevel="0" collapsed="false">
      <c r="A7" s="5" t="s">
        <v>345</v>
      </c>
      <c r="B7" s="29" t="n">
        <f aca="false">PilotArea</f>
        <v>20</v>
      </c>
      <c r="C7" s="21" t="s">
        <v>79</v>
      </c>
      <c r="D7" s="52" t="n">
        <f aca="false">GridT1</f>
        <v>690</v>
      </c>
      <c r="E7" s="53" t="n">
        <f aca="false">B7*D7</f>
        <v>13800</v>
      </c>
      <c r="F7" s="53" t="n">
        <v>0</v>
      </c>
      <c r="G7" s="53" t="n">
        <f aca="false">E7-F7</f>
        <v>13800</v>
      </c>
      <c r="H7" s="21"/>
    </row>
    <row r="8" customFormat="false" ht="15" hidden="false" customHeight="false" outlineLevel="0" collapsed="false">
      <c r="A8" s="5" t="s">
        <v>346</v>
      </c>
      <c r="B8" s="29" t="n">
        <f aca="false">PilotArea</f>
        <v>20</v>
      </c>
      <c r="C8" s="21" t="s">
        <v>79</v>
      </c>
      <c r="D8" s="52" t="n">
        <f aca="false">PVPilot</f>
        <v>9500</v>
      </c>
      <c r="E8" s="53" t="n">
        <f aca="false">B8*D8</f>
        <v>190000</v>
      </c>
      <c r="F8" s="53" t="n">
        <f aca="false">E8*CoFund</f>
        <v>95000</v>
      </c>
      <c r="G8" s="53" t="n">
        <f aca="false">E8-F8</f>
        <v>95000</v>
      </c>
      <c r="H8" s="21" t="s">
        <v>347</v>
      </c>
    </row>
    <row r="9" customFormat="false" ht="15" hidden="false" customHeight="false" outlineLevel="0" collapsed="false">
      <c r="A9" s="5" t="s">
        <v>348</v>
      </c>
      <c r="B9" s="29" t="n">
        <f aca="false">PilotArea</f>
        <v>20</v>
      </c>
      <c r="C9" s="21" t="s">
        <v>79</v>
      </c>
      <c r="D9" s="52" t="n">
        <f aca="false">MLPExtra</f>
        <v>0</v>
      </c>
      <c r="E9" s="53" t="n">
        <f aca="false">B9*D9</f>
        <v>0</v>
      </c>
      <c r="F9" s="53" t="n">
        <v>0</v>
      </c>
      <c r="G9" s="53" t="n">
        <f aca="false">E9-F9</f>
        <v>0</v>
      </c>
      <c r="H9" s="21"/>
    </row>
    <row r="10" customFormat="false" ht="15" hidden="false" customHeight="false" outlineLevel="0" collapsed="false">
      <c r="A10" s="5" t="s">
        <v>349</v>
      </c>
      <c r="B10" s="29" t="n">
        <f aca="false">PilotKWp*1000</f>
        <v>3200</v>
      </c>
      <c r="C10" s="21" t="s">
        <v>114</v>
      </c>
      <c r="D10" s="54" t="n">
        <f aca="false">BOSWp</f>
        <v>8</v>
      </c>
      <c r="E10" s="53" t="n">
        <f aca="false">B10*D10</f>
        <v>25600</v>
      </c>
      <c r="F10" s="53" t="n">
        <v>0</v>
      </c>
      <c r="G10" s="53" t="n">
        <f aca="false">E10-F10</f>
        <v>25600</v>
      </c>
      <c r="H10" s="21"/>
    </row>
    <row r="11" customFormat="false" ht="15" hidden="false" customHeight="false" outlineLevel="0" collapsed="false">
      <c r="A11" s="5" t="s">
        <v>202</v>
      </c>
      <c r="B11" s="53" t="n">
        <f aca="false">SUM(E6:E10)</f>
        <v>234760</v>
      </c>
      <c r="C11" s="21" t="s">
        <v>198</v>
      </c>
      <c r="D11" s="55" t="n">
        <f aca="false">LogPct</f>
        <v>0.05</v>
      </c>
      <c r="E11" s="53" t="n">
        <f aca="false">B11*D11</f>
        <v>11738</v>
      </c>
      <c r="F11" s="53" t="n">
        <v>0</v>
      </c>
      <c r="G11" s="53" t="n">
        <f aca="false">E11-F11</f>
        <v>11738</v>
      </c>
      <c r="H11" s="21" t="s">
        <v>203</v>
      </c>
    </row>
    <row r="12" customFormat="false" ht="15" hidden="false" customHeight="false" outlineLevel="0" collapsed="false">
      <c r="A12" s="5" t="s">
        <v>350</v>
      </c>
      <c r="B12" s="42" t="n">
        <v>1</v>
      </c>
      <c r="C12" s="21" t="s">
        <v>342</v>
      </c>
      <c r="D12" s="52" t="n">
        <f aca="false">IntegLump</f>
        <v>25000</v>
      </c>
      <c r="E12" s="53" t="n">
        <f aca="false">B12*D12</f>
        <v>25000</v>
      </c>
      <c r="F12" s="53" t="n">
        <v>0</v>
      </c>
      <c r="G12" s="53" t="n">
        <f aca="false">E12-F12</f>
        <v>25000</v>
      </c>
      <c r="H12" s="21"/>
    </row>
    <row r="13" customFormat="false" ht="15" hidden="false" customHeight="false" outlineLevel="0" collapsed="false">
      <c r="A13" s="5" t="s">
        <v>204</v>
      </c>
      <c r="B13" s="29" t="n">
        <f aca="false">PilotArea</f>
        <v>20</v>
      </c>
      <c r="C13" s="21" t="s">
        <v>79</v>
      </c>
      <c r="D13" s="52" t="n">
        <f aca="false">InstallM2</f>
        <v>300</v>
      </c>
      <c r="E13" s="53" t="n">
        <f aca="false">B13*D13</f>
        <v>6000</v>
      </c>
      <c r="F13" s="53" t="n">
        <v>0</v>
      </c>
      <c r="G13" s="53" t="n">
        <f aca="false">E13-F13</f>
        <v>6000</v>
      </c>
      <c r="H13" s="21" t="s">
        <v>351</v>
      </c>
    </row>
    <row r="14" customFormat="false" ht="15" hidden="false" customHeight="false" outlineLevel="0" collapsed="false">
      <c r="A14" s="5" t="s">
        <v>211</v>
      </c>
      <c r="B14" s="29" t="n">
        <f aca="false">SupDays</f>
        <v>3</v>
      </c>
      <c r="C14" s="21" t="s">
        <v>212</v>
      </c>
      <c r="D14" s="52" t="n">
        <f aca="false">ManDay</f>
        <v>15000</v>
      </c>
      <c r="E14" s="53" t="n">
        <f aca="false">B14*D14</f>
        <v>45000</v>
      </c>
      <c r="F14" s="53" t="n">
        <f aca="false">E14</f>
        <v>45000</v>
      </c>
      <c r="G14" s="53" t="n">
        <f aca="false">E14-F14</f>
        <v>0</v>
      </c>
      <c r="H14" s="21" t="s">
        <v>343</v>
      </c>
    </row>
    <row r="15" customFormat="false" ht="15" hidden="false" customHeight="false" outlineLevel="0" collapsed="false">
      <c r="A15" s="5" t="s">
        <v>217</v>
      </c>
      <c r="B15" s="42" t="n">
        <v>1</v>
      </c>
      <c r="C15" s="21" t="s">
        <v>342</v>
      </c>
      <c r="D15" s="52" t="n">
        <f aca="false">TravelLump</f>
        <v>40000</v>
      </c>
      <c r="E15" s="53" t="n">
        <f aca="false">B15*D15</f>
        <v>40000</v>
      </c>
      <c r="F15" s="53" t="n">
        <f aca="false">E15</f>
        <v>40000</v>
      </c>
      <c r="G15" s="53" t="n">
        <f aca="false">E15-F15</f>
        <v>0</v>
      </c>
      <c r="H15" s="21" t="s">
        <v>343</v>
      </c>
    </row>
    <row r="16" customFormat="false" ht="15" hidden="false" customHeight="false" outlineLevel="0" collapsed="false">
      <c r="A16" s="5" t="s">
        <v>352</v>
      </c>
      <c r="B16" s="42" t="n">
        <v>1</v>
      </c>
      <c r="C16" s="21" t="s">
        <v>342</v>
      </c>
      <c r="D16" s="52" t="n">
        <f aca="false">IoTPkg</f>
        <v>125000</v>
      </c>
      <c r="E16" s="53" t="n">
        <f aca="false">B16*D16</f>
        <v>125000</v>
      </c>
      <c r="F16" s="53" t="n">
        <f aca="false">E16</f>
        <v>125000</v>
      </c>
      <c r="G16" s="53" t="n">
        <f aca="false">E16-F16</f>
        <v>0</v>
      </c>
      <c r="H16" s="21" t="s">
        <v>343</v>
      </c>
    </row>
    <row r="17" customFormat="false" ht="15" hidden="false" customHeight="false" outlineLevel="0" collapsed="false">
      <c r="A17" s="3" t="s">
        <v>353</v>
      </c>
      <c r="E17" s="56" t="n">
        <f aca="false">SUM(E5:E16)</f>
        <v>527498</v>
      </c>
      <c r="F17" s="56" t="n">
        <f aca="false">SUM(F5:F16)</f>
        <v>345000</v>
      </c>
      <c r="G17" s="56" t="n">
        <f aca="false">SUM(G5:G16)</f>
        <v>182498</v>
      </c>
    </row>
    <row r="18" customFormat="false" ht="15" hidden="false" customHeight="false" outlineLevel="0" collapsed="false">
      <c r="A18" s="5" t="s">
        <v>354</v>
      </c>
      <c r="D18" s="55" t="n">
        <f aca="false">GSTRate</f>
        <v>0.089</v>
      </c>
      <c r="G18" s="53" t="n">
        <f aca="false">G17*D18</f>
        <v>16242.322</v>
      </c>
    </row>
    <row r="19" customFormat="false" ht="15" hidden="false" customHeight="false" outlineLevel="0" collapsed="false">
      <c r="A19" s="3" t="s">
        <v>355</v>
      </c>
      <c r="G19" s="57" t="n">
        <f aca="false">G17+G18</f>
        <v>198740.322</v>
      </c>
    </row>
    <row r="21" customFormat="false" ht="18" hidden="false" customHeight="true" outlineLevel="0" collapsed="false">
      <c r="A21" s="7" t="s">
        <v>356</v>
      </c>
      <c r="B21" s="8"/>
      <c r="C21" s="8"/>
      <c r="D21" s="8"/>
      <c r="E21" s="8"/>
      <c r="F21" s="8"/>
      <c r="G21" s="8"/>
      <c r="H21" s="8"/>
    </row>
    <row r="22" customFormat="false" ht="15" hidden="false" customHeight="false" outlineLevel="0" collapsed="false">
      <c r="A22" s="5" t="s">
        <v>357</v>
      </c>
      <c r="G22" s="57" t="n">
        <f aca="false">SUMPRODUCT(E5:E16,--(H5:H16&lt;&gt;"Included"))</f>
        <v>277498</v>
      </c>
    </row>
    <row r="23" customFormat="false" ht="15" hidden="false" customHeight="false" outlineLevel="0" collapsed="false">
      <c r="A23" s="5" t="s">
        <v>358</v>
      </c>
      <c r="G23" s="57" t="n">
        <f aca="false">PilotPhys/(PilotArea*10.7639)</f>
        <v>1289.02163713896</v>
      </c>
    </row>
    <row r="24" customFormat="false" ht="15" hidden="false" customHeight="false" outlineLevel="0" collapsed="false">
      <c r="A24" s="5" t="s">
        <v>359</v>
      </c>
      <c r="G24" s="57" t="n">
        <f aca="false">PilotPhys/PilotArea</f>
        <v>13874.9</v>
      </c>
    </row>
    <row r="25" customFormat="false" ht="15" hidden="false" customHeight="false" outlineLevel="0" collapsed="false">
      <c r="A25" s="5" t="s">
        <v>360</v>
      </c>
      <c r="G25" s="57" t="n">
        <f aca="false">PilotPhys/PilotKWp</f>
        <v>86718.125</v>
      </c>
    </row>
    <row r="26" customFormat="false" ht="15" hidden="false" customHeight="false" outlineLevel="0" collapsed="false">
      <c r="A26" s="5" t="s">
        <v>361</v>
      </c>
      <c r="G26" s="57" t="n">
        <f aca="false">PilotPays/(PilotArea*10.7639)</f>
        <v>847.731770083334</v>
      </c>
    </row>
    <row r="27" customFormat="false" ht="15" hidden="false" customHeight="false" outlineLevel="0" collapsed="false">
      <c r="A27" s="5" t="s">
        <v>362</v>
      </c>
      <c r="G27" s="37" t="n">
        <f aca="false">PilotContrib/PilotList</f>
        <v>0.654030915757027</v>
      </c>
    </row>
    <row r="28" customFormat="false" ht="15" hidden="false" customHeight="false" outlineLevel="0" collapsed="false">
      <c r="A28" s="5" t="s">
        <v>363</v>
      </c>
      <c r="G28" s="57" t="n">
        <f aca="false">PVPilot/10.7639</f>
        <v>882.579734111242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33"/>
    <pageSetUpPr fitToPage="false"/>
  </sheetPr>
  <dimension ref="A1:L7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9" min="8" style="0" width="15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16"/>
  </cols>
  <sheetData>
    <row r="1" customFormat="false" ht="25.5" hidden="false" customHeight="true" outlineLevel="0" collapsed="false">
      <c r="A1" s="16" t="s">
        <v>364</v>
      </c>
    </row>
    <row r="2" customFormat="false" ht="15" hidden="false" customHeight="false" outlineLevel="0" collapsed="false">
      <c r="A2" s="17" t="s">
        <v>365</v>
      </c>
    </row>
    <row r="4" customFormat="false" ht="15" hidden="false" customHeight="false" outlineLevel="0" collapsed="false">
      <c r="A4" s="3" t="s">
        <v>366</v>
      </c>
      <c r="H4" s="12" t="n">
        <f aca="false">PilotPays</f>
        <v>182498</v>
      </c>
    </row>
    <row r="5" customFormat="false" ht="15" hidden="false" customHeight="false" outlineLevel="0" collapsed="false">
      <c r="A5" s="5" t="s">
        <v>367</v>
      </c>
      <c r="H5" s="52" t="n">
        <f aca="false">PilotPhys</f>
        <v>277498</v>
      </c>
    </row>
    <row r="6" customFormat="false" ht="15" hidden="false" customHeight="false" outlineLevel="0" collapsed="false">
      <c r="A6" s="5" t="s">
        <v>368</v>
      </c>
      <c r="H6" s="58" t="n">
        <f aca="false">PilotKWh1</f>
        <v>4304.81074750987</v>
      </c>
    </row>
    <row r="7" customFormat="false" ht="15" hidden="false" customHeight="true" outlineLevel="0" collapsed="false">
      <c r="A7" s="45" t="s">
        <v>369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</row>
    <row r="9" customFormat="false" ht="18" hidden="false" customHeight="true" outlineLevel="0" collapsed="false">
      <c r="A9" s="7" t="s">
        <v>370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customFormat="false" ht="23.85" hidden="false" customHeight="false" outlineLevel="0" collapsed="false">
      <c r="A10" s="18" t="s">
        <v>371</v>
      </c>
      <c r="B10" s="19" t="s">
        <v>372</v>
      </c>
      <c r="C10" s="19" t="s">
        <v>373</v>
      </c>
      <c r="D10" s="19" t="s">
        <v>374</v>
      </c>
      <c r="E10" s="19" t="s">
        <v>375</v>
      </c>
      <c r="F10" s="19" t="s">
        <v>376</v>
      </c>
      <c r="G10" s="19" t="s">
        <v>377</v>
      </c>
      <c r="H10" s="19" t="s">
        <v>378</v>
      </c>
      <c r="I10" s="19" t="s">
        <v>379</v>
      </c>
      <c r="J10" s="19" t="s">
        <v>380</v>
      </c>
      <c r="K10" s="19" t="s">
        <v>381</v>
      </c>
      <c r="L10" s="19" t="s">
        <v>382</v>
      </c>
    </row>
    <row r="11" customFormat="false" ht="15" hidden="false" customHeight="false" outlineLevel="0" collapsed="false">
      <c r="A11" s="46" t="n">
        <v>0</v>
      </c>
      <c r="H11" s="53" t="n">
        <f aca="false">-PilotPays</f>
        <v>-182498</v>
      </c>
      <c r="I11" s="53" t="n">
        <f aca="false">H11</f>
        <v>-182498</v>
      </c>
      <c r="J11" s="59" t="n">
        <v>1</v>
      </c>
      <c r="K11" s="53" t="n">
        <f aca="false">H11*J11</f>
        <v>-182498</v>
      </c>
      <c r="L11" s="53" t="n">
        <f aca="false">K11</f>
        <v>-182498</v>
      </c>
    </row>
    <row r="12" customFormat="false" ht="15" hidden="false" customHeight="false" outlineLevel="0" collapsed="false">
      <c r="A12" s="46" t="n">
        <v>1</v>
      </c>
      <c r="B12" s="59" t="n">
        <f aca="false">IF(A12&lt;=Life,(1-Deg1)*(1-Degr)^(A12-1),0)</f>
        <v>0.99</v>
      </c>
      <c r="C12" s="23" t="n">
        <f aca="false">PilotKWh1*B12</f>
        <v>4261.76264003477</v>
      </c>
      <c r="D12" s="60" t="n">
        <f aca="false">Tariff*(1+TariffEsc)^(A12-1)</f>
        <v>9</v>
      </c>
      <c r="E12" s="53" t="n">
        <f aca="false">C12*D12</f>
        <v>38355.863760313</v>
      </c>
      <c r="F12" s="53" t="n">
        <f aca="false">IF(A12&lt;=Life,-OMPct*PilotPhys,0)</f>
        <v>-4162.47</v>
      </c>
      <c r="G12" s="53" t="n">
        <f aca="false">IF(AND(A12=InvYear,InvYear&lt;Life),-InvRepl*PilotKWp,0)</f>
        <v>0</v>
      </c>
      <c r="H12" s="53" t="n">
        <f aca="false">E12+F12+G12</f>
        <v>34193.393760313</v>
      </c>
      <c r="I12" s="53" t="n">
        <f aca="false">I11+H12</f>
        <v>-148304.606239687</v>
      </c>
      <c r="J12" s="59" t="n">
        <f aca="false">1/(1+DiscRate)^A12</f>
        <v>0.909090909090909</v>
      </c>
      <c r="K12" s="53" t="n">
        <f aca="false">H12*J12</f>
        <v>31084.9034184663</v>
      </c>
      <c r="L12" s="53" t="n">
        <f aca="false">L11+K12</f>
        <v>-151413.096581534</v>
      </c>
    </row>
    <row r="13" customFormat="false" ht="15" hidden="false" customHeight="false" outlineLevel="0" collapsed="false">
      <c r="A13" s="46" t="n">
        <v>2</v>
      </c>
      <c r="B13" s="59" t="n">
        <f aca="false">IF(A13&lt;=Life,(1-Deg1)*(1-Degr)^(A13-1),0)</f>
        <v>0.98406</v>
      </c>
      <c r="C13" s="23" t="n">
        <f aca="false">PilotKWh1*B13</f>
        <v>4236.19206419456</v>
      </c>
      <c r="D13" s="60" t="n">
        <f aca="false">Tariff*(1+TariffEsc)^(A13-1)</f>
        <v>9.27</v>
      </c>
      <c r="E13" s="53" t="n">
        <f aca="false">C13*D13</f>
        <v>39269.5004350836</v>
      </c>
      <c r="F13" s="53" t="n">
        <f aca="false">IF(A13&lt;=Life,-OMPct*PilotPhys,0)</f>
        <v>-4162.47</v>
      </c>
      <c r="G13" s="53" t="n">
        <f aca="false">IF(AND(A13=InvYear,InvYear&lt;Life),-InvRepl*PilotKWp,0)</f>
        <v>0</v>
      </c>
      <c r="H13" s="53" t="n">
        <f aca="false">E13+F13+G13</f>
        <v>35107.0304350836</v>
      </c>
      <c r="I13" s="53" t="n">
        <f aca="false">I12+H13</f>
        <v>-113197.575804603</v>
      </c>
      <c r="J13" s="59" t="n">
        <f aca="false">1/(1+DiscRate)^A13</f>
        <v>0.826446280991735</v>
      </c>
      <c r="K13" s="53" t="n">
        <f aca="false">H13*J13</f>
        <v>29014.0747397385</v>
      </c>
      <c r="L13" s="53" t="n">
        <f aca="false">L12+K13</f>
        <v>-122399.021841795</v>
      </c>
    </row>
    <row r="14" customFormat="false" ht="15" hidden="false" customHeight="false" outlineLevel="0" collapsed="false">
      <c r="A14" s="46" t="n">
        <v>3</v>
      </c>
      <c r="B14" s="59" t="n">
        <f aca="false">IF(A14&lt;=Life,(1-Deg1)*(1-Degr)^(A14-1),0)</f>
        <v>0.97815564</v>
      </c>
      <c r="C14" s="23" t="n">
        <f aca="false">PilotKWh1*B14</f>
        <v>4210.7749118094</v>
      </c>
      <c r="D14" s="60" t="n">
        <f aca="false">Tariff*(1+TariffEsc)^(A14-1)</f>
        <v>9.5481</v>
      </c>
      <c r="E14" s="53" t="n">
        <f aca="false">C14*D14</f>
        <v>40204.8999354473</v>
      </c>
      <c r="F14" s="53" t="n">
        <f aca="false">IF(A14&lt;=Life,-OMPct*PilotPhys,0)</f>
        <v>-4162.47</v>
      </c>
      <c r="G14" s="53" t="n">
        <f aca="false">IF(AND(A14=InvYear,InvYear&lt;Life),-InvRepl*PilotKWp,0)</f>
        <v>0</v>
      </c>
      <c r="H14" s="53" t="n">
        <f aca="false">E14+F14+G14</f>
        <v>36042.4299354473</v>
      </c>
      <c r="I14" s="53" t="n">
        <f aca="false">I13+H14</f>
        <v>-77155.1458691561</v>
      </c>
      <c r="J14" s="59" t="n">
        <f aca="false">1/(1+DiscRate)^A14</f>
        <v>0.751314800901578</v>
      </c>
      <c r="K14" s="53" t="n">
        <f aca="false">H14*J14</f>
        <v>27079.2110709597</v>
      </c>
      <c r="L14" s="53" t="n">
        <f aca="false">L13+K14</f>
        <v>-95319.8107708355</v>
      </c>
    </row>
    <row r="15" customFormat="false" ht="15" hidden="false" customHeight="false" outlineLevel="0" collapsed="false">
      <c r="A15" s="46" t="n">
        <v>4</v>
      </c>
      <c r="B15" s="59" t="n">
        <f aca="false">IF(A15&lt;=Life,(1-Deg1)*(1-Degr)^(A15-1),0)</f>
        <v>0.97228670616</v>
      </c>
      <c r="C15" s="23" t="n">
        <f aca="false">PilotKWh1*B15</f>
        <v>4185.51026233854</v>
      </c>
      <c r="D15" s="60" t="n">
        <f aca="false">Tariff*(1+TariffEsc)^(A15-1)</f>
        <v>9.834543</v>
      </c>
      <c r="E15" s="53" t="n">
        <f aca="false">C15*D15</f>
        <v>41162.5806519097</v>
      </c>
      <c r="F15" s="53" t="n">
        <f aca="false">IF(A15&lt;=Life,-OMPct*PilotPhys,0)</f>
        <v>-4162.47</v>
      </c>
      <c r="G15" s="53" t="n">
        <f aca="false">IF(AND(A15=InvYear,InvYear&lt;Life),-InvRepl*PilotKWp,0)</f>
        <v>0</v>
      </c>
      <c r="H15" s="53" t="n">
        <f aca="false">E15+F15+G15</f>
        <v>37000.1106519097</v>
      </c>
      <c r="I15" s="53" t="n">
        <f aca="false">I14+H15</f>
        <v>-40155.0352172465</v>
      </c>
      <c r="J15" s="59" t="n">
        <f aca="false">1/(1+DiscRate)^A15</f>
        <v>0.683013455365071</v>
      </c>
      <c r="K15" s="53" t="n">
        <f aca="false">H15*J15</f>
        <v>25271.5734252508</v>
      </c>
      <c r="L15" s="53" t="n">
        <f aca="false">L14+K15</f>
        <v>-70048.2373455847</v>
      </c>
    </row>
    <row r="16" customFormat="false" ht="15" hidden="false" customHeight="false" outlineLevel="0" collapsed="false">
      <c r="A16" s="46" t="n">
        <v>5</v>
      </c>
      <c r="B16" s="59" t="n">
        <f aca="false">IF(A16&lt;=Life,(1-Deg1)*(1-Degr)^(A16-1),0)</f>
        <v>0.96645298592304</v>
      </c>
      <c r="C16" s="23" t="n">
        <f aca="false">PilotKWh1*B16</f>
        <v>4160.39720076451</v>
      </c>
      <c r="D16" s="60" t="n">
        <f aca="false">Tariff*(1+TariffEsc)^(A16-1)</f>
        <v>10.12957929</v>
      </c>
      <c r="E16" s="53" t="n">
        <f aca="false">C16*D16</f>
        <v>42143.0733230382</v>
      </c>
      <c r="F16" s="53" t="n">
        <f aca="false">IF(A16&lt;=Life,-OMPct*PilotPhys,0)</f>
        <v>-4162.47</v>
      </c>
      <c r="G16" s="53" t="n">
        <f aca="false">IF(AND(A16=InvYear,InvYear&lt;Life),-InvRepl*PilotKWp,0)</f>
        <v>0</v>
      </c>
      <c r="H16" s="53" t="n">
        <f aca="false">E16+F16+G16</f>
        <v>37980.6033230382</v>
      </c>
      <c r="I16" s="53" t="n">
        <f aca="false">I15+H16</f>
        <v>-2174.43189420832</v>
      </c>
      <c r="J16" s="59" t="n">
        <f aca="false">1/(1+DiscRate)^A16</f>
        <v>0.620921323059155</v>
      </c>
      <c r="K16" s="53" t="n">
        <f aca="false">H16*J16</f>
        <v>23582.9664659258</v>
      </c>
      <c r="L16" s="53" t="n">
        <f aca="false">L15+K16</f>
        <v>-46465.270879659</v>
      </c>
    </row>
    <row r="17" customFormat="false" ht="15" hidden="false" customHeight="false" outlineLevel="0" collapsed="false">
      <c r="A17" s="46" t="n">
        <v>6</v>
      </c>
      <c r="B17" s="59" t="n">
        <f aca="false">IF(A17&lt;=Life,(1-Deg1)*(1-Degr)^(A17-1),0)</f>
        <v>0.960654268007502</v>
      </c>
      <c r="C17" s="23" t="n">
        <f aca="false">PilotKWh1*B17</f>
        <v>4135.43481755992</v>
      </c>
      <c r="D17" s="60" t="n">
        <f aca="false">Tariff*(1+TariffEsc)^(A17-1)</f>
        <v>10.4334666687</v>
      </c>
      <c r="E17" s="53" t="n">
        <f aca="false">C17*D17</f>
        <v>43146.9213295929</v>
      </c>
      <c r="F17" s="53" t="n">
        <f aca="false">IF(A17&lt;=Life,-OMPct*PilotPhys,0)</f>
        <v>-4162.47</v>
      </c>
      <c r="G17" s="53" t="n">
        <f aca="false">IF(AND(A17=InvYear,InvYear&lt;Life),-InvRepl*PilotKWp,0)</f>
        <v>0</v>
      </c>
      <c r="H17" s="53" t="n">
        <f aca="false">E17+F17+G17</f>
        <v>38984.4513295929</v>
      </c>
      <c r="I17" s="53" t="n">
        <f aca="false">I16+H17</f>
        <v>36810.0194353846</v>
      </c>
      <c r="J17" s="59" t="n">
        <f aca="false">1/(1+DiscRate)^A17</f>
        <v>0.564473930053777</v>
      </c>
      <c r="K17" s="53" t="n">
        <f aca="false">H17*J17</f>
        <v>22005.7064530055</v>
      </c>
      <c r="L17" s="53" t="n">
        <f aca="false">L16+K17</f>
        <v>-24459.5644266534</v>
      </c>
    </row>
    <row r="18" customFormat="false" ht="15" hidden="false" customHeight="false" outlineLevel="0" collapsed="false">
      <c r="A18" s="46" t="n">
        <v>7</v>
      </c>
      <c r="B18" s="59" t="n">
        <f aca="false">IF(A18&lt;=Life,(1-Deg1)*(1-Degr)^(A18-1),0)</f>
        <v>0.954890342399457</v>
      </c>
      <c r="C18" s="23" t="n">
        <f aca="false">PilotKWh1*B18</f>
        <v>4110.62220865456</v>
      </c>
      <c r="D18" s="60" t="n">
        <f aca="false">Tariff*(1+TariffEsc)^(A18-1)</f>
        <v>10.746470668761</v>
      </c>
      <c r="E18" s="53" t="n">
        <f aca="false">C18*D18</f>
        <v>44174.6809956638</v>
      </c>
      <c r="F18" s="53" t="n">
        <f aca="false">IF(A18&lt;=Life,-OMPct*PilotPhys,0)</f>
        <v>-4162.47</v>
      </c>
      <c r="G18" s="53" t="n">
        <f aca="false">IF(AND(A18=InvYear,InvYear&lt;Life),-InvRepl*PilotKWp,0)</f>
        <v>0</v>
      </c>
      <c r="H18" s="53" t="n">
        <f aca="false">E18+F18+G18</f>
        <v>40012.2109956638</v>
      </c>
      <c r="I18" s="53" t="n">
        <f aca="false">I17+H18</f>
        <v>76822.2304310484</v>
      </c>
      <c r="J18" s="59" t="n">
        <f aca="false">1/(1+DiscRate)^A18</f>
        <v>0.513158118230707</v>
      </c>
      <c r="K18" s="53" t="n">
        <f aca="false">H18*J18</f>
        <v>20532.5909007848</v>
      </c>
      <c r="L18" s="53" t="n">
        <f aca="false">L17+K18</f>
        <v>-3926.97352586861</v>
      </c>
    </row>
    <row r="19" customFormat="false" ht="15" hidden="false" customHeight="false" outlineLevel="0" collapsed="false">
      <c r="A19" s="46" t="n">
        <v>8</v>
      </c>
      <c r="B19" s="59" t="n">
        <f aca="false">IF(A19&lt;=Life,(1-Deg1)*(1-Degr)^(A19-1),0)</f>
        <v>0.94916100034506</v>
      </c>
      <c r="C19" s="23" t="n">
        <f aca="false">PilotKWh1*B19</f>
        <v>4085.95847540264</v>
      </c>
      <c r="D19" s="60" t="n">
        <f aca="false">Tariff*(1+TariffEsc)^(A19-1)</f>
        <v>11.0688647888238</v>
      </c>
      <c r="E19" s="53" t="n">
        <f aca="false">C19*D19</f>
        <v>45226.9218969805</v>
      </c>
      <c r="F19" s="53" t="n">
        <f aca="false">IF(A19&lt;=Life,-OMPct*PilotPhys,0)</f>
        <v>-4162.47</v>
      </c>
      <c r="G19" s="53" t="n">
        <f aca="false">IF(AND(A19=InvYear,InvYear&lt;Life),-InvRepl*PilotKWp,0)</f>
        <v>0</v>
      </c>
      <c r="H19" s="53" t="n">
        <f aca="false">E19+F19+G19</f>
        <v>41064.4518969805</v>
      </c>
      <c r="I19" s="53" t="n">
        <f aca="false">I18+H19</f>
        <v>117886.682328029</v>
      </c>
      <c r="J19" s="59" t="n">
        <f aca="false">1/(1+DiscRate)^A19</f>
        <v>0.466507380209733</v>
      </c>
      <c r="K19" s="53" t="n">
        <f aca="false">H19*J19</f>
        <v>19156.869874209</v>
      </c>
      <c r="L19" s="53" t="n">
        <f aca="false">L18+K19</f>
        <v>15229.8963483404</v>
      </c>
    </row>
    <row r="20" customFormat="false" ht="15" hidden="false" customHeight="false" outlineLevel="0" collapsed="false">
      <c r="A20" s="46" t="n">
        <v>9</v>
      </c>
      <c r="B20" s="59" t="n">
        <f aca="false">IF(A20&lt;=Life,(1-Deg1)*(1-Degr)^(A20-1),0)</f>
        <v>0.94346603434299</v>
      </c>
      <c r="C20" s="23" t="n">
        <f aca="false">PilotKWh1*B20</f>
        <v>4061.44272455022</v>
      </c>
      <c r="D20" s="60" t="n">
        <f aca="false">Tariff*(1+TariffEsc)^(A20-1)</f>
        <v>11.4009307324885</v>
      </c>
      <c r="E20" s="53" t="n">
        <f aca="false">C20*D20</f>
        <v>46304.2271765666</v>
      </c>
      <c r="F20" s="53" t="n">
        <f aca="false">IF(A20&lt;=Life,-OMPct*PilotPhys,0)</f>
        <v>-4162.47</v>
      </c>
      <c r="G20" s="53" t="n">
        <f aca="false">IF(AND(A20=InvYear,InvYear&lt;Life),-InvRepl*PilotKWp,0)</f>
        <v>0</v>
      </c>
      <c r="H20" s="53" t="n">
        <f aca="false">E20+F20+G20</f>
        <v>42141.7571765666</v>
      </c>
      <c r="I20" s="53" t="n">
        <f aca="false">I19+H20</f>
        <v>160028.439504596</v>
      </c>
      <c r="J20" s="59" t="n">
        <f aca="false">1/(1+DiscRate)^A20</f>
        <v>0.424097618372485</v>
      </c>
      <c r="K20" s="53" t="n">
        <f aca="false">H20*J20</f>
        <v>17872.2188526135</v>
      </c>
      <c r="L20" s="53" t="n">
        <f aca="false">L19+K20</f>
        <v>33102.1152009539</v>
      </c>
    </row>
    <row r="21" customFormat="false" ht="15" hidden="false" customHeight="false" outlineLevel="0" collapsed="false">
      <c r="A21" s="46" t="n">
        <v>10</v>
      </c>
      <c r="B21" s="59" t="n">
        <f aca="false">IF(A21&lt;=Life,(1-Deg1)*(1-Degr)^(A21-1),0)</f>
        <v>0.937805238136932</v>
      </c>
      <c r="C21" s="23" t="n">
        <f aca="false">PilotKWh1*B21</f>
        <v>4037.07406820292</v>
      </c>
      <c r="D21" s="60" t="n">
        <f aca="false">Tariff*(1+TariffEsc)^(A21-1)</f>
        <v>11.7429586544632</v>
      </c>
      <c r="E21" s="53" t="n">
        <f aca="false">C21*D21</f>
        <v>47407.1938679124</v>
      </c>
      <c r="F21" s="53" t="n">
        <f aca="false">IF(A21&lt;=Life,-OMPct*PilotPhys,0)</f>
        <v>-4162.47</v>
      </c>
      <c r="G21" s="53" t="n">
        <f aca="false">IF(AND(A21=InvYear,InvYear&lt;Life),-InvRepl*PilotKWp,0)</f>
        <v>0</v>
      </c>
      <c r="H21" s="53" t="n">
        <f aca="false">E21+F21+G21</f>
        <v>43244.7238679124</v>
      </c>
      <c r="I21" s="53" t="n">
        <f aca="false">I20+H21</f>
        <v>203273.163372508</v>
      </c>
      <c r="J21" s="59" t="n">
        <f aca="false">1/(1+DiscRate)^A21</f>
        <v>0.385543289429531</v>
      </c>
      <c r="K21" s="53" t="n">
        <f aca="false">H21*J21</f>
        <v>16672.7130905067</v>
      </c>
      <c r="L21" s="53" t="n">
        <f aca="false">L20+K21</f>
        <v>49774.8282914606</v>
      </c>
    </row>
    <row r="22" customFormat="false" ht="15" hidden="false" customHeight="false" outlineLevel="0" collapsed="false">
      <c r="A22" s="46" t="n">
        <v>11</v>
      </c>
      <c r="B22" s="59" t="n">
        <f aca="false">IF(A22&lt;=Life,(1-Deg1)*(1-Degr)^(A22-1),0)</f>
        <v>0.93217840670811</v>
      </c>
      <c r="C22" s="23" t="n">
        <f aca="false">PilotKWh1*B22</f>
        <v>4012.8516237937</v>
      </c>
      <c r="D22" s="60" t="n">
        <f aca="false">Tariff*(1+TariffEsc)^(A22-1)</f>
        <v>12.0952474140971</v>
      </c>
      <c r="E22" s="53" t="n">
        <f aca="false">C22*D22</f>
        <v>48536.4332258461</v>
      </c>
      <c r="F22" s="53" t="n">
        <f aca="false">IF(A22&lt;=Life,-OMPct*PilotPhys,0)</f>
        <v>-4162.47</v>
      </c>
      <c r="G22" s="53" t="n">
        <f aca="false">IF(AND(A22=InvYear,InvYear&lt;Life),-InvRepl*PilotKWp,0)</f>
        <v>0</v>
      </c>
      <c r="H22" s="53" t="n">
        <f aca="false">E22+F22+G22</f>
        <v>44373.9632258461</v>
      </c>
      <c r="I22" s="53" t="n">
        <f aca="false">I21+H22</f>
        <v>247647.126598354</v>
      </c>
      <c r="J22" s="59" t="n">
        <f aca="false">1/(1+DiscRate)^A22</f>
        <v>0.350493899481392</v>
      </c>
      <c r="K22" s="53" t="n">
        <f aca="false">H22*J22</f>
        <v>15552.8034064707</v>
      </c>
      <c r="L22" s="53" t="n">
        <f aca="false">L21+K22</f>
        <v>65327.6316979313</v>
      </c>
    </row>
    <row r="23" customFormat="false" ht="15" hidden="false" customHeight="false" outlineLevel="0" collapsed="false">
      <c r="A23" s="46" t="n">
        <v>12</v>
      </c>
      <c r="B23" s="59" t="n">
        <f aca="false">IF(A23&lt;=Life,(1-Deg1)*(1-Degr)^(A23-1),0)</f>
        <v>0.926585336267861</v>
      </c>
      <c r="C23" s="23" t="n">
        <f aca="false">PilotKWh1*B23</f>
        <v>3988.77451405094</v>
      </c>
      <c r="D23" s="60" t="n">
        <f aca="false">Tariff*(1+TariffEsc)^(A23-1)</f>
        <v>12.45810483652</v>
      </c>
      <c r="E23" s="53" t="n">
        <f aca="false">C23*D23</f>
        <v>49692.5710652858</v>
      </c>
      <c r="F23" s="53" t="n">
        <f aca="false">IF(A23&lt;=Life,-OMPct*PilotPhys,0)</f>
        <v>-4162.47</v>
      </c>
      <c r="G23" s="53" t="n">
        <f aca="false">IF(AND(A23=InvYear,InvYear&lt;Life),-InvRepl*PilotKWp,0)</f>
        <v>-12800</v>
      </c>
      <c r="H23" s="53" t="n">
        <f aca="false">E23+F23+G23</f>
        <v>32730.1010652858</v>
      </c>
      <c r="I23" s="53" t="n">
        <f aca="false">I22+H23</f>
        <v>280377.22766364</v>
      </c>
      <c r="J23" s="59" t="n">
        <f aca="false">1/(1+DiscRate)^A23</f>
        <v>0.318630817710357</v>
      </c>
      <c r="K23" s="53" t="n">
        <f aca="false">H23*J23</f>
        <v>10428.8188661746</v>
      </c>
      <c r="L23" s="53" t="n">
        <f aca="false">L22+K23</f>
        <v>75756.4505641059</v>
      </c>
    </row>
    <row r="24" customFormat="false" ht="15" hidden="false" customHeight="false" outlineLevel="0" collapsed="false">
      <c r="A24" s="46" t="n">
        <v>13</v>
      </c>
      <c r="B24" s="59" t="n">
        <f aca="false">IF(A24&lt;=Life,(1-Deg1)*(1-Degr)^(A24-1),0)</f>
        <v>0.921025824250254</v>
      </c>
      <c r="C24" s="23" t="n">
        <f aca="false">PilotKWh1*B24</f>
        <v>3964.84186696663</v>
      </c>
      <c r="D24" s="60" t="n">
        <f aca="false">Tariff*(1+TariffEsc)^(A24-1)</f>
        <v>12.8318479816156</v>
      </c>
      <c r="E24" s="53" t="n">
        <f aca="false">C24*D24</f>
        <v>50876.2481080609</v>
      </c>
      <c r="F24" s="53" t="n">
        <f aca="false">IF(A24&lt;=Life,-OMPct*PilotPhys,0)</f>
        <v>-4162.47</v>
      </c>
      <c r="G24" s="53" t="n">
        <f aca="false">IF(AND(A24=InvYear,InvYear&lt;Life),-InvRepl*PilotKWp,0)</f>
        <v>0</v>
      </c>
      <c r="H24" s="53" t="n">
        <f aca="false">E24+F24+G24</f>
        <v>46713.7781080609</v>
      </c>
      <c r="I24" s="53" t="n">
        <f aca="false">I23+H24</f>
        <v>327091.005771701</v>
      </c>
      <c r="J24" s="59" t="n">
        <f aca="false">1/(1+DiscRate)^A24</f>
        <v>0.289664379736688</v>
      </c>
      <c r="K24" s="53" t="n">
        <f aca="false">H24*J24</f>
        <v>13531.3175608287</v>
      </c>
      <c r="L24" s="53" t="n">
        <f aca="false">L23+K24</f>
        <v>89287.7681249346</v>
      </c>
    </row>
    <row r="25" customFormat="false" ht="15" hidden="false" customHeight="false" outlineLevel="0" collapsed="false">
      <c r="A25" s="46" t="n">
        <v>14</v>
      </c>
      <c r="B25" s="59" t="n">
        <f aca="false">IF(A25&lt;=Life,(1-Deg1)*(1-Degr)^(A25-1),0)</f>
        <v>0.915499669304753</v>
      </c>
      <c r="C25" s="23" t="n">
        <f aca="false">PilotKWh1*B25</f>
        <v>3941.05281576483</v>
      </c>
      <c r="D25" s="60" t="n">
        <f aca="false">Tariff*(1+TariffEsc)^(A25-1)</f>
        <v>13.2168034210641</v>
      </c>
      <c r="E25" s="53" t="n">
        <f aca="false">C25*D25</f>
        <v>52088.1203379949</v>
      </c>
      <c r="F25" s="53" t="n">
        <f aca="false">IF(A25&lt;=Life,-OMPct*PilotPhys,0)</f>
        <v>-4162.47</v>
      </c>
      <c r="G25" s="53" t="n">
        <f aca="false">IF(AND(A25=InvYear,InvYear&lt;Life),-InvRepl*PilotKWp,0)</f>
        <v>0</v>
      </c>
      <c r="H25" s="53" t="n">
        <f aca="false">E25+F25+G25</f>
        <v>47925.6503379949</v>
      </c>
      <c r="I25" s="53" t="n">
        <f aca="false">I24+H25</f>
        <v>375016.656109696</v>
      </c>
      <c r="J25" s="59" t="n">
        <f aca="false">1/(1+DiscRate)^A25</f>
        <v>0.26333125430608</v>
      </c>
      <c r="K25" s="53" t="n">
        <f aca="false">H25*J25</f>
        <v>12620.3216169388</v>
      </c>
      <c r="L25" s="53" t="n">
        <f aca="false">L24+K25</f>
        <v>101908.089741873</v>
      </c>
    </row>
    <row r="26" customFormat="false" ht="15" hidden="false" customHeight="false" outlineLevel="0" collapsed="false">
      <c r="A26" s="46" t="n">
        <v>15</v>
      </c>
      <c r="B26" s="59" t="n">
        <f aca="false">IF(A26&lt;=Life,(1-Deg1)*(1-Degr)^(A26-1),0)</f>
        <v>0.910006671288924</v>
      </c>
      <c r="C26" s="23" t="n">
        <f aca="false">PilotKWh1*B26</f>
        <v>3917.40649887024</v>
      </c>
      <c r="D26" s="60" t="n">
        <f aca="false">Tariff*(1+TariffEsc)^(A26-1)</f>
        <v>13.613307523696</v>
      </c>
      <c r="E26" s="53" t="n">
        <f aca="false">C26*D26</f>
        <v>53328.8593644459</v>
      </c>
      <c r="F26" s="53" t="n">
        <f aca="false">IF(A26&lt;=Life,-OMPct*PilotPhys,0)</f>
        <v>-4162.47</v>
      </c>
      <c r="G26" s="53" t="n">
        <f aca="false">IF(AND(A26=InvYear,InvYear&lt;Life),-InvRepl*PilotKWp,0)</f>
        <v>0</v>
      </c>
      <c r="H26" s="53" t="n">
        <f aca="false">E26+F26+G26</f>
        <v>49166.3893644459</v>
      </c>
      <c r="I26" s="53" t="n">
        <f aca="false">I25+H26</f>
        <v>424183.045474142</v>
      </c>
      <c r="J26" s="59" t="n">
        <f aca="false">1/(1+DiscRate)^A26</f>
        <v>0.239392049369163</v>
      </c>
      <c r="K26" s="53" t="n">
        <f aca="false">H26*J26</f>
        <v>11770.0427100369</v>
      </c>
      <c r="L26" s="53" t="n">
        <f aca="false">L25+K26</f>
        <v>113678.13245191</v>
      </c>
    </row>
    <row r="27" customFormat="false" ht="15" hidden="false" customHeight="false" outlineLevel="0" collapsed="false">
      <c r="A27" s="46" t="n">
        <v>16</v>
      </c>
      <c r="B27" s="59" t="n">
        <f aca="false">IF(A27&lt;=Life,(1-Deg1)*(1-Degr)^(A27-1),0)</f>
        <v>0.904546631261191</v>
      </c>
      <c r="C27" s="23" t="n">
        <f aca="false">PilotKWh1*B27</f>
        <v>3893.90205987702</v>
      </c>
      <c r="D27" s="60" t="n">
        <f aca="false">Tariff*(1+TariffEsc)^(A27-1)</f>
        <v>14.0217067494069</v>
      </c>
      <c r="E27" s="53" t="n">
        <f aca="false">C27*D27</f>
        <v>54599.152794507</v>
      </c>
      <c r="F27" s="53" t="n">
        <f aca="false">IF(A27&lt;=Life,-OMPct*PilotPhys,0)</f>
        <v>-4162.47</v>
      </c>
      <c r="G27" s="53" t="n">
        <f aca="false">IF(AND(A27=InvYear,InvYear&lt;Life),-InvRepl*PilotKWp,0)</f>
        <v>0</v>
      </c>
      <c r="H27" s="53" t="n">
        <f aca="false">E27+F27+G27</f>
        <v>50436.682794507</v>
      </c>
      <c r="I27" s="53" t="n">
        <f aca="false">I26+H27</f>
        <v>474619.728268649</v>
      </c>
      <c r="J27" s="59" t="n">
        <f aca="false">1/(1+DiscRate)^A27</f>
        <v>0.217629135790149</v>
      </c>
      <c r="K27" s="53" t="n">
        <f aca="false">H27*J27</f>
        <v>10976.4916886904</v>
      </c>
      <c r="L27" s="53" t="n">
        <f aca="false">L26+K27</f>
        <v>124654.624140601</v>
      </c>
    </row>
    <row r="28" customFormat="false" ht="15" hidden="false" customHeight="false" outlineLevel="0" collapsed="false">
      <c r="A28" s="46" t="n">
        <v>17</v>
      </c>
      <c r="B28" s="59" t="n">
        <f aca="false">IF(A28&lt;=Life,(1-Deg1)*(1-Degr)^(A28-1),0)</f>
        <v>0.899119351473623</v>
      </c>
      <c r="C28" s="23" t="n">
        <f aca="false">PilotKWh1*B28</f>
        <v>3870.53864751776</v>
      </c>
      <c r="D28" s="60" t="n">
        <f aca="false">Tariff*(1+TariffEsc)^(A28-1)</f>
        <v>14.4423579518891</v>
      </c>
      <c r="E28" s="53" t="n">
        <f aca="false">C28*D28</f>
        <v>55899.7046140722</v>
      </c>
      <c r="F28" s="53" t="n">
        <f aca="false">IF(A28&lt;=Life,-OMPct*PilotPhys,0)</f>
        <v>-4162.47</v>
      </c>
      <c r="G28" s="53" t="n">
        <f aca="false">IF(AND(A28=InvYear,InvYear&lt;Life),-InvRepl*PilotKWp,0)</f>
        <v>0</v>
      </c>
      <c r="H28" s="53" t="n">
        <f aca="false">E28+F28+G28</f>
        <v>51737.2346140722</v>
      </c>
      <c r="I28" s="53" t="n">
        <f aca="false">I27+H28</f>
        <v>526356.962882721</v>
      </c>
      <c r="J28" s="59" t="n">
        <f aca="false">1/(1+DiscRate)^A28</f>
        <v>0.197844668900135</v>
      </c>
      <c r="K28" s="53" t="n">
        <f aca="false">H28*J28</f>
        <v>10235.9360520297</v>
      </c>
      <c r="L28" s="53" t="n">
        <f aca="false">L27+K28</f>
        <v>134890.56019263</v>
      </c>
    </row>
    <row r="29" customFormat="false" ht="15" hidden="false" customHeight="false" outlineLevel="0" collapsed="false">
      <c r="A29" s="46" t="n">
        <v>18</v>
      </c>
      <c r="B29" s="59" t="n">
        <f aca="false">IF(A29&lt;=Life,(1-Deg1)*(1-Degr)^(A29-1),0)</f>
        <v>0.893724635364782</v>
      </c>
      <c r="C29" s="23" t="n">
        <f aca="false">PilotKWh1*B29</f>
        <v>3847.31541563265</v>
      </c>
      <c r="D29" s="60" t="n">
        <f aca="false">Tariff*(1+TariffEsc)^(A29-1)</f>
        <v>14.8756286904458</v>
      </c>
      <c r="E29" s="53" t="n">
        <f aca="false">C29*D29</f>
        <v>57231.2355779794</v>
      </c>
      <c r="F29" s="53" t="n">
        <f aca="false">IF(A29&lt;=Life,-OMPct*PilotPhys,0)</f>
        <v>-4162.47</v>
      </c>
      <c r="G29" s="53" t="n">
        <f aca="false">IF(AND(A29=InvYear,InvYear&lt;Life),-InvRepl*PilotKWp,0)</f>
        <v>0</v>
      </c>
      <c r="H29" s="53" t="n">
        <f aca="false">E29+F29+G29</f>
        <v>53068.7655779794</v>
      </c>
      <c r="I29" s="53" t="n">
        <f aca="false">I28+H29</f>
        <v>579425.7284607</v>
      </c>
      <c r="J29" s="59" t="n">
        <f aca="false">1/(1+DiscRate)^A29</f>
        <v>0.179858789909214</v>
      </c>
      <c r="K29" s="53" t="n">
        <f aca="false">H29*J29</f>
        <v>9544.8839588311</v>
      </c>
      <c r="L29" s="53" t="n">
        <f aca="false">L28+K29</f>
        <v>144435.444151462</v>
      </c>
    </row>
    <row r="30" customFormat="false" ht="15" hidden="false" customHeight="false" outlineLevel="0" collapsed="false">
      <c r="A30" s="46" t="n">
        <v>19</v>
      </c>
      <c r="B30" s="59" t="n">
        <f aca="false">IF(A30&lt;=Life,(1-Deg1)*(1-Degr)^(A30-1),0)</f>
        <v>0.888362287552593</v>
      </c>
      <c r="C30" s="23" t="n">
        <f aca="false">PilotKWh1*B30</f>
        <v>3824.23152313886</v>
      </c>
      <c r="D30" s="60" t="n">
        <f aca="false">Tariff*(1+TariffEsc)^(A30-1)</f>
        <v>15.3218975511591</v>
      </c>
      <c r="E30" s="53" t="n">
        <f aca="false">C30*D30</f>
        <v>58594.4836094469</v>
      </c>
      <c r="F30" s="53" t="n">
        <f aca="false">IF(A30&lt;=Life,-OMPct*PilotPhys,0)</f>
        <v>-4162.47</v>
      </c>
      <c r="G30" s="53" t="n">
        <f aca="false">IF(AND(A30=InvYear,InvYear&lt;Life),-InvRepl*PilotKWp,0)</f>
        <v>0</v>
      </c>
      <c r="H30" s="53" t="n">
        <f aca="false">E30+F30+G30</f>
        <v>54432.0136094469</v>
      </c>
      <c r="I30" s="53" t="n">
        <f aca="false">I29+H30</f>
        <v>633857.742070147</v>
      </c>
      <c r="J30" s="59" t="n">
        <f aca="false">1/(1+DiscRate)^A30</f>
        <v>0.163507990826558</v>
      </c>
      <c r="K30" s="53" t="n">
        <f aca="false">H30*J30</f>
        <v>8900.06918192451</v>
      </c>
      <c r="L30" s="53" t="n">
        <f aca="false">L29+K30</f>
        <v>153335.513333386</v>
      </c>
    </row>
    <row r="31" customFormat="false" ht="15" hidden="false" customHeight="false" outlineLevel="0" collapsed="false">
      <c r="A31" s="46" t="n">
        <v>20</v>
      </c>
      <c r="B31" s="59" t="n">
        <f aca="false">IF(A31&lt;=Life,(1-Deg1)*(1-Degr)^(A31-1),0)</f>
        <v>0.883032113827278</v>
      </c>
      <c r="C31" s="23" t="n">
        <f aca="false">PilotKWh1*B31</f>
        <v>3801.28613400003</v>
      </c>
      <c r="D31" s="60" t="n">
        <f aca="false">Tariff*(1+TariffEsc)^(A31-1)</f>
        <v>15.7815544776939</v>
      </c>
      <c r="E31" s="53" t="n">
        <f aca="false">C31*D31</f>
        <v>59990.2042090239</v>
      </c>
      <c r="F31" s="53" t="n">
        <f aca="false">IF(A31&lt;=Life,-OMPct*PilotPhys,0)</f>
        <v>-4162.47</v>
      </c>
      <c r="G31" s="53" t="n">
        <f aca="false">IF(AND(A31=InvYear,InvYear&lt;Life),-InvRepl*PilotKWp,0)</f>
        <v>0</v>
      </c>
      <c r="H31" s="53" t="n">
        <f aca="false">E31+F31+G31</f>
        <v>55827.7342090239</v>
      </c>
      <c r="I31" s="53" t="n">
        <f aca="false">I30+H31</f>
        <v>689685.476279171</v>
      </c>
      <c r="J31" s="59" t="n">
        <f aca="false">1/(1+DiscRate)^A31</f>
        <v>0.148643628024143</v>
      </c>
      <c r="K31" s="53" t="n">
        <f aca="false">H31*J31</f>
        <v>8298.4369571969</v>
      </c>
      <c r="L31" s="53" t="n">
        <f aca="false">L30+K31</f>
        <v>161633.950290583</v>
      </c>
    </row>
    <row r="33" customFormat="false" ht="18" hidden="false" customHeight="true" outlineLevel="0" collapsed="false">
      <c r="A33" s="7" t="s">
        <v>383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customFormat="false" ht="15" hidden="false" customHeight="false" outlineLevel="0" collapsed="false">
      <c r="A34" s="51" t="s">
        <v>368</v>
      </c>
      <c r="B34" s="51"/>
      <c r="C34" s="51"/>
      <c r="D34" s="51"/>
      <c r="E34" s="36" t="n">
        <f aca="false">C12</f>
        <v>4261.76264003477</v>
      </c>
    </row>
    <row r="35" customFormat="false" ht="15" hidden="false" customHeight="false" outlineLevel="0" collapsed="false">
      <c r="A35" s="51" t="s">
        <v>384</v>
      </c>
      <c r="B35" s="51"/>
      <c r="C35" s="51"/>
      <c r="D35" s="51"/>
      <c r="E35" s="57" t="n">
        <f aca="false">E12</f>
        <v>38355.863760313</v>
      </c>
    </row>
    <row r="36" customFormat="false" ht="15" hidden="false" customHeight="false" outlineLevel="0" collapsed="false">
      <c r="A36" s="51" t="s">
        <v>385</v>
      </c>
      <c r="B36" s="51"/>
      <c r="C36" s="51"/>
      <c r="D36" s="51"/>
      <c r="E36" s="57" t="n">
        <f aca="false">-F12</f>
        <v>4162.47</v>
      </c>
    </row>
    <row r="37" customFormat="false" ht="15" hidden="false" customHeight="false" outlineLevel="0" collapsed="false">
      <c r="A37" s="51" t="s">
        <v>16</v>
      </c>
      <c r="B37" s="51"/>
      <c r="C37" s="51"/>
      <c r="D37" s="51"/>
      <c r="E37" s="61" t="n">
        <f aca="false">IF(COUNTIF(I12:I31,"&lt;0")&gt;=20,"&gt; 20",COUNTIF(I12:I31,"&lt;0")+(-INDEX(I11:I31,COUNTIF(I12:I31,"&lt;0")+1))/INDEX(H11:H31,COUNTIF(I12:I31,"&lt;0")+2))</f>
        <v>5.05577690130418</v>
      </c>
    </row>
    <row r="38" customFormat="false" ht="15" hidden="false" customHeight="false" outlineLevel="0" collapsed="false">
      <c r="A38" s="51" t="s">
        <v>386</v>
      </c>
      <c r="B38" s="51"/>
      <c r="C38" s="51"/>
      <c r="D38" s="51"/>
      <c r="E38" s="61" t="n">
        <f aca="false">IF(COUNTIF(L12:L31,"&lt;0")&gt;=20,"&gt; 20",COUNTIF(L12:L31,"&lt;0")+(-INDEX(L11:L31,COUNTIF(L12:L31,"&lt;0")+1))/INDEX(K11:K31,COUNTIF(L12:L31,"&lt;0")+2))</f>
        <v>7.20499035341653</v>
      </c>
    </row>
    <row r="39" customFormat="false" ht="15" hidden="false" customHeight="false" outlineLevel="0" collapsed="false">
      <c r="A39" s="51" t="s">
        <v>387</v>
      </c>
      <c r="B39" s="51"/>
      <c r="C39" s="51"/>
      <c r="D39" s="51"/>
      <c r="E39" s="57" t="n">
        <f aca="false">L31</f>
        <v>161633.950290583</v>
      </c>
    </row>
    <row r="40" customFormat="false" ht="15" hidden="false" customHeight="false" outlineLevel="0" collapsed="false">
      <c r="A40" s="51" t="s">
        <v>17</v>
      </c>
      <c r="B40" s="51"/>
      <c r="C40" s="51"/>
      <c r="D40" s="51"/>
      <c r="E40" s="37" t="n">
        <f aca="false">IFERROR(IRR(H11:H31),"n/a")</f>
        <v>0.204867435643768</v>
      </c>
    </row>
    <row r="41" customFormat="false" ht="15" hidden="false" customHeight="false" outlineLevel="0" collapsed="false">
      <c r="A41" s="51" t="s">
        <v>388</v>
      </c>
      <c r="B41" s="51"/>
      <c r="C41" s="51"/>
      <c r="D41" s="51"/>
      <c r="E41" s="57" t="n">
        <f aca="false">I31</f>
        <v>689685.476279171</v>
      </c>
    </row>
    <row r="42" customFormat="false" ht="15" hidden="false" customHeight="false" outlineLevel="0" collapsed="false">
      <c r="A42" s="51" t="s">
        <v>389</v>
      </c>
      <c r="B42" s="51"/>
      <c r="C42" s="51"/>
      <c r="D42" s="51"/>
      <c r="E42" s="62" t="n">
        <f aca="false">IFERROR(I31/PilotPays,"n/a")</f>
        <v>3.77913991539179</v>
      </c>
    </row>
    <row r="45" customFormat="false" ht="18" hidden="false" customHeight="true" outlineLevel="0" collapsed="false">
      <c r="A45" s="7" t="s">
        <v>390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customFormat="false" ht="23.85" hidden="false" customHeight="false" outlineLevel="0" collapsed="false">
      <c r="A46" s="18" t="s">
        <v>371</v>
      </c>
      <c r="B46" s="19" t="s">
        <v>372</v>
      </c>
      <c r="C46" s="19" t="s">
        <v>373</v>
      </c>
      <c r="D46" s="19" t="s">
        <v>374</v>
      </c>
      <c r="E46" s="19" t="s">
        <v>375</v>
      </c>
      <c r="F46" s="19" t="s">
        <v>376</v>
      </c>
      <c r="G46" s="19" t="s">
        <v>377</v>
      </c>
      <c r="H46" s="19" t="s">
        <v>378</v>
      </c>
      <c r="I46" s="19" t="s">
        <v>379</v>
      </c>
      <c r="J46" s="19" t="s">
        <v>380</v>
      </c>
      <c r="K46" s="19" t="s">
        <v>381</v>
      </c>
      <c r="L46" s="19" t="s">
        <v>382</v>
      </c>
    </row>
    <row r="47" customFormat="false" ht="15" hidden="false" customHeight="false" outlineLevel="0" collapsed="false">
      <c r="A47" s="46" t="n">
        <v>0</v>
      </c>
      <c r="H47" s="53" t="n">
        <f aca="false">-PilotPhys</f>
        <v>-277498</v>
      </c>
      <c r="I47" s="53" t="n">
        <f aca="false">H47</f>
        <v>-277498</v>
      </c>
      <c r="J47" s="59" t="n">
        <v>1</v>
      </c>
      <c r="K47" s="53" t="n">
        <f aca="false">H47*J47</f>
        <v>-277498</v>
      </c>
      <c r="L47" s="53" t="n">
        <f aca="false">K47</f>
        <v>-277498</v>
      </c>
    </row>
    <row r="48" customFormat="false" ht="15" hidden="false" customHeight="false" outlineLevel="0" collapsed="false">
      <c r="A48" s="46" t="n">
        <v>1</v>
      </c>
      <c r="B48" s="59" t="n">
        <f aca="false">IF(A48&lt;=Life,(1-Deg1)*(1-Degr)^(A48-1),0)</f>
        <v>0.99</v>
      </c>
      <c r="C48" s="23" t="n">
        <f aca="false">PilotKWh1*B48</f>
        <v>4261.76264003477</v>
      </c>
      <c r="D48" s="60" t="n">
        <f aca="false">Tariff*(1+TariffEsc)^(A48-1)</f>
        <v>9</v>
      </c>
      <c r="E48" s="53" t="n">
        <f aca="false">C48*D48</f>
        <v>38355.863760313</v>
      </c>
      <c r="F48" s="53" t="n">
        <f aca="false">IF(A48&lt;=Life,-OMPct*PilotPhys,0)</f>
        <v>-4162.47</v>
      </c>
      <c r="G48" s="53" t="n">
        <f aca="false">IF(AND(A48=InvYear,InvYear&lt;Life),-InvRepl*PilotKWp,0)</f>
        <v>0</v>
      </c>
      <c r="H48" s="53" t="n">
        <f aca="false">E48+F48+G48</f>
        <v>34193.393760313</v>
      </c>
      <c r="I48" s="53" t="n">
        <f aca="false">I47+H48</f>
        <v>-243304.606239687</v>
      </c>
      <c r="J48" s="59" t="n">
        <f aca="false">1/(1+DiscRate)^A48</f>
        <v>0.909090909090909</v>
      </c>
      <c r="K48" s="53" t="n">
        <f aca="false">H48*J48</f>
        <v>31084.9034184663</v>
      </c>
      <c r="L48" s="53" t="n">
        <f aca="false">L47+K48</f>
        <v>-246413.096581534</v>
      </c>
    </row>
    <row r="49" customFormat="false" ht="15" hidden="false" customHeight="false" outlineLevel="0" collapsed="false">
      <c r="A49" s="46" t="n">
        <v>2</v>
      </c>
      <c r="B49" s="59" t="n">
        <f aca="false">IF(A49&lt;=Life,(1-Deg1)*(1-Degr)^(A49-1),0)</f>
        <v>0.98406</v>
      </c>
      <c r="C49" s="23" t="n">
        <f aca="false">PilotKWh1*B49</f>
        <v>4236.19206419456</v>
      </c>
      <c r="D49" s="60" t="n">
        <f aca="false">Tariff*(1+TariffEsc)^(A49-1)</f>
        <v>9.27</v>
      </c>
      <c r="E49" s="53" t="n">
        <f aca="false">C49*D49</f>
        <v>39269.5004350836</v>
      </c>
      <c r="F49" s="53" t="n">
        <f aca="false">IF(A49&lt;=Life,-OMPct*PilotPhys,0)</f>
        <v>-4162.47</v>
      </c>
      <c r="G49" s="53" t="n">
        <f aca="false">IF(AND(A49=InvYear,InvYear&lt;Life),-InvRepl*PilotKWp,0)</f>
        <v>0</v>
      </c>
      <c r="H49" s="53" t="n">
        <f aca="false">E49+F49+G49</f>
        <v>35107.0304350836</v>
      </c>
      <c r="I49" s="53" t="n">
        <f aca="false">I48+H49</f>
        <v>-208197.575804603</v>
      </c>
      <c r="J49" s="59" t="n">
        <f aca="false">1/(1+DiscRate)^A49</f>
        <v>0.826446280991735</v>
      </c>
      <c r="K49" s="53" t="n">
        <f aca="false">H49*J49</f>
        <v>29014.0747397385</v>
      </c>
      <c r="L49" s="53" t="n">
        <f aca="false">L48+K49</f>
        <v>-217399.021841795</v>
      </c>
    </row>
    <row r="50" customFormat="false" ht="15" hidden="false" customHeight="false" outlineLevel="0" collapsed="false">
      <c r="A50" s="46" t="n">
        <v>3</v>
      </c>
      <c r="B50" s="59" t="n">
        <f aca="false">IF(A50&lt;=Life,(1-Deg1)*(1-Degr)^(A50-1),0)</f>
        <v>0.97815564</v>
      </c>
      <c r="C50" s="23" t="n">
        <f aca="false">PilotKWh1*B50</f>
        <v>4210.7749118094</v>
      </c>
      <c r="D50" s="60" t="n">
        <f aca="false">Tariff*(1+TariffEsc)^(A50-1)</f>
        <v>9.5481</v>
      </c>
      <c r="E50" s="53" t="n">
        <f aca="false">C50*D50</f>
        <v>40204.8999354473</v>
      </c>
      <c r="F50" s="53" t="n">
        <f aca="false">IF(A50&lt;=Life,-OMPct*PilotPhys,0)</f>
        <v>-4162.47</v>
      </c>
      <c r="G50" s="53" t="n">
        <f aca="false">IF(AND(A50=InvYear,InvYear&lt;Life),-InvRepl*PilotKWp,0)</f>
        <v>0</v>
      </c>
      <c r="H50" s="53" t="n">
        <f aca="false">E50+F50+G50</f>
        <v>36042.4299354473</v>
      </c>
      <c r="I50" s="53" t="n">
        <f aca="false">I49+H50</f>
        <v>-172155.145869156</v>
      </c>
      <c r="J50" s="59" t="n">
        <f aca="false">1/(1+DiscRate)^A50</f>
        <v>0.751314800901578</v>
      </c>
      <c r="K50" s="53" t="n">
        <f aca="false">H50*J50</f>
        <v>27079.2110709597</v>
      </c>
      <c r="L50" s="53" t="n">
        <f aca="false">L49+K50</f>
        <v>-190319.810770836</v>
      </c>
    </row>
    <row r="51" customFormat="false" ht="15" hidden="false" customHeight="false" outlineLevel="0" collapsed="false">
      <c r="A51" s="46" t="n">
        <v>4</v>
      </c>
      <c r="B51" s="59" t="n">
        <f aca="false">IF(A51&lt;=Life,(1-Deg1)*(1-Degr)^(A51-1),0)</f>
        <v>0.97228670616</v>
      </c>
      <c r="C51" s="23" t="n">
        <f aca="false">PilotKWh1*B51</f>
        <v>4185.51026233854</v>
      </c>
      <c r="D51" s="60" t="n">
        <f aca="false">Tariff*(1+TariffEsc)^(A51-1)</f>
        <v>9.834543</v>
      </c>
      <c r="E51" s="53" t="n">
        <f aca="false">C51*D51</f>
        <v>41162.5806519097</v>
      </c>
      <c r="F51" s="53" t="n">
        <f aca="false">IF(A51&lt;=Life,-OMPct*PilotPhys,0)</f>
        <v>-4162.47</v>
      </c>
      <c r="G51" s="53" t="n">
        <f aca="false">IF(AND(A51=InvYear,InvYear&lt;Life),-InvRepl*PilotKWp,0)</f>
        <v>0</v>
      </c>
      <c r="H51" s="53" t="n">
        <f aca="false">E51+F51+G51</f>
        <v>37000.1106519097</v>
      </c>
      <c r="I51" s="53" t="n">
        <f aca="false">I50+H51</f>
        <v>-135155.035217246</v>
      </c>
      <c r="J51" s="59" t="n">
        <f aca="false">1/(1+DiscRate)^A51</f>
        <v>0.683013455365071</v>
      </c>
      <c r="K51" s="53" t="n">
        <f aca="false">H51*J51</f>
        <v>25271.5734252508</v>
      </c>
      <c r="L51" s="53" t="n">
        <f aca="false">L50+K51</f>
        <v>-165048.237345585</v>
      </c>
    </row>
    <row r="52" customFormat="false" ht="15" hidden="false" customHeight="false" outlineLevel="0" collapsed="false">
      <c r="A52" s="46" t="n">
        <v>5</v>
      </c>
      <c r="B52" s="59" t="n">
        <f aca="false">IF(A52&lt;=Life,(1-Deg1)*(1-Degr)^(A52-1),0)</f>
        <v>0.96645298592304</v>
      </c>
      <c r="C52" s="23" t="n">
        <f aca="false">PilotKWh1*B52</f>
        <v>4160.39720076451</v>
      </c>
      <c r="D52" s="60" t="n">
        <f aca="false">Tariff*(1+TariffEsc)^(A52-1)</f>
        <v>10.12957929</v>
      </c>
      <c r="E52" s="53" t="n">
        <f aca="false">C52*D52</f>
        <v>42143.0733230382</v>
      </c>
      <c r="F52" s="53" t="n">
        <f aca="false">IF(A52&lt;=Life,-OMPct*PilotPhys,0)</f>
        <v>-4162.47</v>
      </c>
      <c r="G52" s="53" t="n">
        <f aca="false">IF(AND(A52=InvYear,InvYear&lt;Life),-InvRepl*PilotKWp,0)</f>
        <v>0</v>
      </c>
      <c r="H52" s="53" t="n">
        <f aca="false">E52+F52+G52</f>
        <v>37980.6033230382</v>
      </c>
      <c r="I52" s="53" t="n">
        <f aca="false">I51+H52</f>
        <v>-97174.4318942083</v>
      </c>
      <c r="J52" s="59" t="n">
        <f aca="false">1/(1+DiscRate)^A52</f>
        <v>0.620921323059155</v>
      </c>
      <c r="K52" s="53" t="n">
        <f aca="false">H52*J52</f>
        <v>23582.9664659258</v>
      </c>
      <c r="L52" s="53" t="n">
        <f aca="false">L51+K52</f>
        <v>-141465.270879659</v>
      </c>
    </row>
    <row r="53" customFormat="false" ht="15" hidden="false" customHeight="false" outlineLevel="0" collapsed="false">
      <c r="A53" s="46" t="n">
        <v>6</v>
      </c>
      <c r="B53" s="59" t="n">
        <f aca="false">IF(A53&lt;=Life,(1-Deg1)*(1-Degr)^(A53-1),0)</f>
        <v>0.960654268007502</v>
      </c>
      <c r="C53" s="23" t="n">
        <f aca="false">PilotKWh1*B53</f>
        <v>4135.43481755992</v>
      </c>
      <c r="D53" s="60" t="n">
        <f aca="false">Tariff*(1+TariffEsc)^(A53-1)</f>
        <v>10.4334666687</v>
      </c>
      <c r="E53" s="53" t="n">
        <f aca="false">C53*D53</f>
        <v>43146.9213295929</v>
      </c>
      <c r="F53" s="53" t="n">
        <f aca="false">IF(A53&lt;=Life,-OMPct*PilotPhys,0)</f>
        <v>-4162.47</v>
      </c>
      <c r="G53" s="53" t="n">
        <f aca="false">IF(AND(A53=InvYear,InvYear&lt;Life),-InvRepl*PilotKWp,0)</f>
        <v>0</v>
      </c>
      <c r="H53" s="53" t="n">
        <f aca="false">E53+F53+G53</f>
        <v>38984.4513295929</v>
      </c>
      <c r="I53" s="53" t="n">
        <f aca="false">I52+H53</f>
        <v>-58189.9805646154</v>
      </c>
      <c r="J53" s="59" t="n">
        <f aca="false">1/(1+DiscRate)^A53</f>
        <v>0.564473930053777</v>
      </c>
      <c r="K53" s="53" t="n">
        <f aca="false">H53*J53</f>
        <v>22005.7064530055</v>
      </c>
      <c r="L53" s="53" t="n">
        <f aca="false">L52+K53</f>
        <v>-119459.564426653</v>
      </c>
    </row>
    <row r="54" customFormat="false" ht="15" hidden="false" customHeight="false" outlineLevel="0" collapsed="false">
      <c r="A54" s="46" t="n">
        <v>7</v>
      </c>
      <c r="B54" s="59" t="n">
        <f aca="false">IF(A54&lt;=Life,(1-Deg1)*(1-Degr)^(A54-1),0)</f>
        <v>0.954890342399457</v>
      </c>
      <c r="C54" s="23" t="n">
        <f aca="false">PilotKWh1*B54</f>
        <v>4110.62220865456</v>
      </c>
      <c r="D54" s="60" t="n">
        <f aca="false">Tariff*(1+TariffEsc)^(A54-1)</f>
        <v>10.746470668761</v>
      </c>
      <c r="E54" s="53" t="n">
        <f aca="false">C54*D54</f>
        <v>44174.6809956638</v>
      </c>
      <c r="F54" s="53" t="n">
        <f aca="false">IF(A54&lt;=Life,-OMPct*PilotPhys,0)</f>
        <v>-4162.47</v>
      </c>
      <c r="G54" s="53" t="n">
        <f aca="false">IF(AND(A54=InvYear,InvYear&lt;Life),-InvRepl*PilotKWp,0)</f>
        <v>0</v>
      </c>
      <c r="H54" s="53" t="n">
        <f aca="false">E54+F54+G54</f>
        <v>40012.2109956638</v>
      </c>
      <c r="I54" s="53" t="n">
        <f aca="false">I53+H54</f>
        <v>-18177.7695689516</v>
      </c>
      <c r="J54" s="59" t="n">
        <f aca="false">1/(1+DiscRate)^A54</f>
        <v>0.513158118230707</v>
      </c>
      <c r="K54" s="53" t="n">
        <f aca="false">H54*J54</f>
        <v>20532.5909007848</v>
      </c>
      <c r="L54" s="53" t="n">
        <f aca="false">L53+K54</f>
        <v>-98926.9735258686</v>
      </c>
    </row>
    <row r="55" customFormat="false" ht="15" hidden="false" customHeight="false" outlineLevel="0" collapsed="false">
      <c r="A55" s="46" t="n">
        <v>8</v>
      </c>
      <c r="B55" s="59" t="n">
        <f aca="false">IF(A55&lt;=Life,(1-Deg1)*(1-Degr)^(A55-1),0)</f>
        <v>0.94916100034506</v>
      </c>
      <c r="C55" s="23" t="n">
        <f aca="false">PilotKWh1*B55</f>
        <v>4085.95847540264</v>
      </c>
      <c r="D55" s="60" t="n">
        <f aca="false">Tariff*(1+TariffEsc)^(A55-1)</f>
        <v>11.0688647888238</v>
      </c>
      <c r="E55" s="53" t="n">
        <f aca="false">C55*D55</f>
        <v>45226.9218969805</v>
      </c>
      <c r="F55" s="53" t="n">
        <f aca="false">IF(A55&lt;=Life,-OMPct*PilotPhys,0)</f>
        <v>-4162.47</v>
      </c>
      <c r="G55" s="53" t="n">
        <f aca="false">IF(AND(A55=InvYear,InvYear&lt;Life),-InvRepl*PilotKWp,0)</f>
        <v>0</v>
      </c>
      <c r="H55" s="53" t="n">
        <f aca="false">E55+F55+G55</f>
        <v>41064.4518969805</v>
      </c>
      <c r="I55" s="53" t="n">
        <f aca="false">I54+H55</f>
        <v>22886.682328029</v>
      </c>
      <c r="J55" s="59" t="n">
        <f aca="false">1/(1+DiscRate)^A55</f>
        <v>0.466507380209733</v>
      </c>
      <c r="K55" s="53" t="n">
        <f aca="false">H55*J55</f>
        <v>19156.869874209</v>
      </c>
      <c r="L55" s="53" t="n">
        <f aca="false">L54+K55</f>
        <v>-79770.1036516596</v>
      </c>
    </row>
    <row r="56" customFormat="false" ht="15" hidden="false" customHeight="false" outlineLevel="0" collapsed="false">
      <c r="A56" s="46" t="n">
        <v>9</v>
      </c>
      <c r="B56" s="59" t="n">
        <f aca="false">IF(A56&lt;=Life,(1-Deg1)*(1-Degr)^(A56-1),0)</f>
        <v>0.94346603434299</v>
      </c>
      <c r="C56" s="23" t="n">
        <f aca="false">PilotKWh1*B56</f>
        <v>4061.44272455022</v>
      </c>
      <c r="D56" s="60" t="n">
        <f aca="false">Tariff*(1+TariffEsc)^(A56-1)</f>
        <v>11.4009307324885</v>
      </c>
      <c r="E56" s="53" t="n">
        <f aca="false">C56*D56</f>
        <v>46304.2271765666</v>
      </c>
      <c r="F56" s="53" t="n">
        <f aca="false">IF(A56&lt;=Life,-OMPct*PilotPhys,0)</f>
        <v>-4162.47</v>
      </c>
      <c r="G56" s="53" t="n">
        <f aca="false">IF(AND(A56=InvYear,InvYear&lt;Life),-InvRepl*PilotKWp,0)</f>
        <v>0</v>
      </c>
      <c r="H56" s="53" t="n">
        <f aca="false">E56+F56+G56</f>
        <v>42141.7571765666</v>
      </c>
      <c r="I56" s="53" t="n">
        <f aca="false">I55+H56</f>
        <v>65028.4395045956</v>
      </c>
      <c r="J56" s="59" t="n">
        <f aca="false">1/(1+DiscRate)^A56</f>
        <v>0.424097618372485</v>
      </c>
      <c r="K56" s="53" t="n">
        <f aca="false">H56*J56</f>
        <v>17872.2188526135</v>
      </c>
      <c r="L56" s="53" t="n">
        <f aca="false">L55+K56</f>
        <v>-61897.8847990461</v>
      </c>
    </row>
    <row r="57" customFormat="false" ht="15" hidden="false" customHeight="false" outlineLevel="0" collapsed="false">
      <c r="A57" s="46" t="n">
        <v>10</v>
      </c>
      <c r="B57" s="59" t="n">
        <f aca="false">IF(A57&lt;=Life,(1-Deg1)*(1-Degr)^(A57-1),0)</f>
        <v>0.937805238136932</v>
      </c>
      <c r="C57" s="23" t="n">
        <f aca="false">PilotKWh1*B57</f>
        <v>4037.07406820292</v>
      </c>
      <c r="D57" s="60" t="n">
        <f aca="false">Tariff*(1+TariffEsc)^(A57-1)</f>
        <v>11.7429586544632</v>
      </c>
      <c r="E57" s="53" t="n">
        <f aca="false">C57*D57</f>
        <v>47407.1938679124</v>
      </c>
      <c r="F57" s="53" t="n">
        <f aca="false">IF(A57&lt;=Life,-OMPct*PilotPhys,0)</f>
        <v>-4162.47</v>
      </c>
      <c r="G57" s="53" t="n">
        <f aca="false">IF(AND(A57=InvYear,InvYear&lt;Life),-InvRepl*PilotKWp,0)</f>
        <v>0</v>
      </c>
      <c r="H57" s="53" t="n">
        <f aca="false">E57+F57+G57</f>
        <v>43244.7238679124</v>
      </c>
      <c r="I57" s="53" t="n">
        <f aca="false">I56+H57</f>
        <v>108273.163372508</v>
      </c>
      <c r="J57" s="59" t="n">
        <f aca="false">1/(1+DiscRate)^A57</f>
        <v>0.385543289429531</v>
      </c>
      <c r="K57" s="53" t="n">
        <f aca="false">H57*J57</f>
        <v>16672.7130905067</v>
      </c>
      <c r="L57" s="53" t="n">
        <f aca="false">L56+K57</f>
        <v>-45225.1717085394</v>
      </c>
    </row>
    <row r="58" customFormat="false" ht="15" hidden="false" customHeight="false" outlineLevel="0" collapsed="false">
      <c r="A58" s="46" t="n">
        <v>11</v>
      </c>
      <c r="B58" s="59" t="n">
        <f aca="false">IF(A58&lt;=Life,(1-Deg1)*(1-Degr)^(A58-1),0)</f>
        <v>0.93217840670811</v>
      </c>
      <c r="C58" s="23" t="n">
        <f aca="false">PilotKWh1*B58</f>
        <v>4012.8516237937</v>
      </c>
      <c r="D58" s="60" t="n">
        <f aca="false">Tariff*(1+TariffEsc)^(A58-1)</f>
        <v>12.0952474140971</v>
      </c>
      <c r="E58" s="53" t="n">
        <f aca="false">C58*D58</f>
        <v>48536.4332258461</v>
      </c>
      <c r="F58" s="53" t="n">
        <f aca="false">IF(A58&lt;=Life,-OMPct*PilotPhys,0)</f>
        <v>-4162.47</v>
      </c>
      <c r="G58" s="53" t="n">
        <f aca="false">IF(AND(A58=InvYear,InvYear&lt;Life),-InvRepl*PilotKWp,0)</f>
        <v>0</v>
      </c>
      <c r="H58" s="53" t="n">
        <f aca="false">E58+F58+G58</f>
        <v>44373.9632258461</v>
      </c>
      <c r="I58" s="53" t="n">
        <f aca="false">I57+H58</f>
        <v>152647.126598354</v>
      </c>
      <c r="J58" s="59" t="n">
        <f aca="false">1/(1+DiscRate)^A58</f>
        <v>0.350493899481392</v>
      </c>
      <c r="K58" s="53" t="n">
        <f aca="false">H58*J58</f>
        <v>15552.8034064707</v>
      </c>
      <c r="L58" s="53" t="n">
        <f aca="false">L57+K58</f>
        <v>-29672.3683020687</v>
      </c>
    </row>
    <row r="59" customFormat="false" ht="15" hidden="false" customHeight="false" outlineLevel="0" collapsed="false">
      <c r="A59" s="46" t="n">
        <v>12</v>
      </c>
      <c r="B59" s="59" t="n">
        <f aca="false">IF(A59&lt;=Life,(1-Deg1)*(1-Degr)^(A59-1),0)</f>
        <v>0.926585336267861</v>
      </c>
      <c r="C59" s="23" t="n">
        <f aca="false">PilotKWh1*B59</f>
        <v>3988.77451405094</v>
      </c>
      <c r="D59" s="60" t="n">
        <f aca="false">Tariff*(1+TariffEsc)^(A59-1)</f>
        <v>12.45810483652</v>
      </c>
      <c r="E59" s="53" t="n">
        <f aca="false">C59*D59</f>
        <v>49692.5710652858</v>
      </c>
      <c r="F59" s="53" t="n">
        <f aca="false">IF(A59&lt;=Life,-OMPct*PilotPhys,0)</f>
        <v>-4162.47</v>
      </c>
      <c r="G59" s="53" t="n">
        <f aca="false">IF(AND(A59=InvYear,InvYear&lt;Life),-InvRepl*PilotKWp,0)</f>
        <v>-12800</v>
      </c>
      <c r="H59" s="53" t="n">
        <f aca="false">E59+F59+G59</f>
        <v>32730.1010652858</v>
      </c>
      <c r="I59" s="53" t="n">
        <f aca="false">I58+H59</f>
        <v>185377.22766364</v>
      </c>
      <c r="J59" s="59" t="n">
        <f aca="false">1/(1+DiscRate)^A59</f>
        <v>0.318630817710357</v>
      </c>
      <c r="K59" s="53" t="n">
        <f aca="false">H59*J59</f>
        <v>10428.8188661746</v>
      </c>
      <c r="L59" s="53" t="n">
        <f aca="false">L58+K59</f>
        <v>-19243.5494358941</v>
      </c>
    </row>
    <row r="60" customFormat="false" ht="15" hidden="false" customHeight="false" outlineLevel="0" collapsed="false">
      <c r="A60" s="46" t="n">
        <v>13</v>
      </c>
      <c r="B60" s="59" t="n">
        <f aca="false">IF(A60&lt;=Life,(1-Deg1)*(1-Degr)^(A60-1),0)</f>
        <v>0.921025824250254</v>
      </c>
      <c r="C60" s="23" t="n">
        <f aca="false">PilotKWh1*B60</f>
        <v>3964.84186696663</v>
      </c>
      <c r="D60" s="60" t="n">
        <f aca="false">Tariff*(1+TariffEsc)^(A60-1)</f>
        <v>12.8318479816156</v>
      </c>
      <c r="E60" s="53" t="n">
        <f aca="false">C60*D60</f>
        <v>50876.2481080609</v>
      </c>
      <c r="F60" s="53" t="n">
        <f aca="false">IF(A60&lt;=Life,-OMPct*PilotPhys,0)</f>
        <v>-4162.47</v>
      </c>
      <c r="G60" s="53" t="n">
        <f aca="false">IF(AND(A60=InvYear,InvYear&lt;Life),-InvRepl*PilotKWp,0)</f>
        <v>0</v>
      </c>
      <c r="H60" s="53" t="n">
        <f aca="false">E60+F60+G60</f>
        <v>46713.7781080609</v>
      </c>
      <c r="I60" s="53" t="n">
        <f aca="false">I59+H60</f>
        <v>232091.005771701</v>
      </c>
      <c r="J60" s="59" t="n">
        <f aca="false">1/(1+DiscRate)^A60</f>
        <v>0.289664379736688</v>
      </c>
      <c r="K60" s="53" t="n">
        <f aca="false">H60*J60</f>
        <v>13531.3175608287</v>
      </c>
      <c r="L60" s="53" t="n">
        <f aca="false">L59+K60</f>
        <v>-5712.23187506537</v>
      </c>
    </row>
    <row r="61" customFormat="false" ht="15" hidden="false" customHeight="false" outlineLevel="0" collapsed="false">
      <c r="A61" s="46" t="n">
        <v>14</v>
      </c>
      <c r="B61" s="59" t="n">
        <f aca="false">IF(A61&lt;=Life,(1-Deg1)*(1-Degr)^(A61-1),0)</f>
        <v>0.915499669304753</v>
      </c>
      <c r="C61" s="23" t="n">
        <f aca="false">PilotKWh1*B61</f>
        <v>3941.05281576483</v>
      </c>
      <c r="D61" s="60" t="n">
        <f aca="false">Tariff*(1+TariffEsc)^(A61-1)</f>
        <v>13.2168034210641</v>
      </c>
      <c r="E61" s="53" t="n">
        <f aca="false">C61*D61</f>
        <v>52088.1203379949</v>
      </c>
      <c r="F61" s="53" t="n">
        <f aca="false">IF(A61&lt;=Life,-OMPct*PilotPhys,0)</f>
        <v>-4162.47</v>
      </c>
      <c r="G61" s="53" t="n">
        <f aca="false">IF(AND(A61=InvYear,InvYear&lt;Life),-InvRepl*PilotKWp,0)</f>
        <v>0</v>
      </c>
      <c r="H61" s="53" t="n">
        <f aca="false">E61+F61+G61</f>
        <v>47925.6503379949</v>
      </c>
      <c r="I61" s="53" t="n">
        <f aca="false">I60+H61</f>
        <v>280016.656109696</v>
      </c>
      <c r="J61" s="59" t="n">
        <f aca="false">1/(1+DiscRate)^A61</f>
        <v>0.26333125430608</v>
      </c>
      <c r="K61" s="53" t="n">
        <f aca="false">H61*J61</f>
        <v>12620.3216169388</v>
      </c>
      <c r="L61" s="53" t="n">
        <f aca="false">L60+K61</f>
        <v>6908.08974187342</v>
      </c>
    </row>
    <row r="62" customFormat="false" ht="15" hidden="false" customHeight="false" outlineLevel="0" collapsed="false">
      <c r="A62" s="46" t="n">
        <v>15</v>
      </c>
      <c r="B62" s="59" t="n">
        <f aca="false">IF(A62&lt;=Life,(1-Deg1)*(1-Degr)^(A62-1),0)</f>
        <v>0.910006671288924</v>
      </c>
      <c r="C62" s="23" t="n">
        <f aca="false">PilotKWh1*B62</f>
        <v>3917.40649887024</v>
      </c>
      <c r="D62" s="60" t="n">
        <f aca="false">Tariff*(1+TariffEsc)^(A62-1)</f>
        <v>13.613307523696</v>
      </c>
      <c r="E62" s="53" t="n">
        <f aca="false">C62*D62</f>
        <v>53328.8593644459</v>
      </c>
      <c r="F62" s="53" t="n">
        <f aca="false">IF(A62&lt;=Life,-OMPct*PilotPhys,0)</f>
        <v>-4162.47</v>
      </c>
      <c r="G62" s="53" t="n">
        <f aca="false">IF(AND(A62=InvYear,InvYear&lt;Life),-InvRepl*PilotKWp,0)</f>
        <v>0</v>
      </c>
      <c r="H62" s="53" t="n">
        <f aca="false">E62+F62+G62</f>
        <v>49166.3893644459</v>
      </c>
      <c r="I62" s="53" t="n">
        <f aca="false">I61+H62</f>
        <v>329183.045474142</v>
      </c>
      <c r="J62" s="59" t="n">
        <f aca="false">1/(1+DiscRate)^A62</f>
        <v>0.239392049369163</v>
      </c>
      <c r="K62" s="53" t="n">
        <f aca="false">H62*J62</f>
        <v>11770.0427100369</v>
      </c>
      <c r="L62" s="53" t="n">
        <f aca="false">L61+K62</f>
        <v>18678.1324519104</v>
      </c>
    </row>
    <row r="63" customFormat="false" ht="15" hidden="false" customHeight="false" outlineLevel="0" collapsed="false">
      <c r="A63" s="46" t="n">
        <v>16</v>
      </c>
      <c r="B63" s="59" t="n">
        <f aca="false">IF(A63&lt;=Life,(1-Deg1)*(1-Degr)^(A63-1),0)</f>
        <v>0.904546631261191</v>
      </c>
      <c r="C63" s="23" t="n">
        <f aca="false">PilotKWh1*B63</f>
        <v>3893.90205987702</v>
      </c>
      <c r="D63" s="60" t="n">
        <f aca="false">Tariff*(1+TariffEsc)^(A63-1)</f>
        <v>14.0217067494069</v>
      </c>
      <c r="E63" s="53" t="n">
        <f aca="false">C63*D63</f>
        <v>54599.152794507</v>
      </c>
      <c r="F63" s="53" t="n">
        <f aca="false">IF(A63&lt;=Life,-OMPct*PilotPhys,0)</f>
        <v>-4162.47</v>
      </c>
      <c r="G63" s="53" t="n">
        <f aca="false">IF(AND(A63=InvYear,InvYear&lt;Life),-InvRepl*PilotKWp,0)</f>
        <v>0</v>
      </c>
      <c r="H63" s="53" t="n">
        <f aca="false">E63+F63+G63</f>
        <v>50436.682794507</v>
      </c>
      <c r="I63" s="53" t="n">
        <f aca="false">I62+H63</f>
        <v>379619.728268649</v>
      </c>
      <c r="J63" s="59" t="n">
        <f aca="false">1/(1+DiscRate)^A63</f>
        <v>0.217629135790149</v>
      </c>
      <c r="K63" s="53" t="n">
        <f aca="false">H63*J63</f>
        <v>10976.4916886904</v>
      </c>
      <c r="L63" s="53" t="n">
        <f aca="false">L62+K63</f>
        <v>29654.6241406008</v>
      </c>
    </row>
    <row r="64" customFormat="false" ht="15" hidden="false" customHeight="false" outlineLevel="0" collapsed="false">
      <c r="A64" s="46" t="n">
        <v>17</v>
      </c>
      <c r="B64" s="59" t="n">
        <f aca="false">IF(A64&lt;=Life,(1-Deg1)*(1-Degr)^(A64-1),0)</f>
        <v>0.899119351473623</v>
      </c>
      <c r="C64" s="23" t="n">
        <f aca="false">PilotKWh1*B64</f>
        <v>3870.53864751776</v>
      </c>
      <c r="D64" s="60" t="n">
        <f aca="false">Tariff*(1+TariffEsc)^(A64-1)</f>
        <v>14.4423579518891</v>
      </c>
      <c r="E64" s="53" t="n">
        <f aca="false">C64*D64</f>
        <v>55899.7046140722</v>
      </c>
      <c r="F64" s="53" t="n">
        <f aca="false">IF(A64&lt;=Life,-OMPct*PilotPhys,0)</f>
        <v>-4162.47</v>
      </c>
      <c r="G64" s="53" t="n">
        <f aca="false">IF(AND(A64=InvYear,InvYear&lt;Life),-InvRepl*PilotKWp,0)</f>
        <v>0</v>
      </c>
      <c r="H64" s="53" t="n">
        <f aca="false">E64+F64+G64</f>
        <v>51737.2346140722</v>
      </c>
      <c r="I64" s="53" t="n">
        <f aca="false">I63+H64</f>
        <v>431356.962882721</v>
      </c>
      <c r="J64" s="59" t="n">
        <f aca="false">1/(1+DiscRate)^A64</f>
        <v>0.197844668900135</v>
      </c>
      <c r="K64" s="53" t="n">
        <f aca="false">H64*J64</f>
        <v>10235.9360520297</v>
      </c>
      <c r="L64" s="53" t="n">
        <f aca="false">L63+K64</f>
        <v>39890.5601926305</v>
      </c>
    </row>
    <row r="65" customFormat="false" ht="15" hidden="false" customHeight="false" outlineLevel="0" collapsed="false">
      <c r="A65" s="46" t="n">
        <v>18</v>
      </c>
      <c r="B65" s="59" t="n">
        <f aca="false">IF(A65&lt;=Life,(1-Deg1)*(1-Degr)^(A65-1),0)</f>
        <v>0.893724635364782</v>
      </c>
      <c r="C65" s="23" t="n">
        <f aca="false">PilotKWh1*B65</f>
        <v>3847.31541563265</v>
      </c>
      <c r="D65" s="60" t="n">
        <f aca="false">Tariff*(1+TariffEsc)^(A65-1)</f>
        <v>14.8756286904458</v>
      </c>
      <c r="E65" s="53" t="n">
        <f aca="false">C65*D65</f>
        <v>57231.2355779794</v>
      </c>
      <c r="F65" s="53" t="n">
        <f aca="false">IF(A65&lt;=Life,-OMPct*PilotPhys,0)</f>
        <v>-4162.47</v>
      </c>
      <c r="G65" s="53" t="n">
        <f aca="false">IF(AND(A65=InvYear,InvYear&lt;Life),-InvRepl*PilotKWp,0)</f>
        <v>0</v>
      </c>
      <c r="H65" s="53" t="n">
        <f aca="false">E65+F65+G65</f>
        <v>53068.7655779794</v>
      </c>
      <c r="I65" s="53" t="n">
        <f aca="false">I64+H65</f>
        <v>484425.7284607</v>
      </c>
      <c r="J65" s="59" t="n">
        <f aca="false">1/(1+DiscRate)^A65</f>
        <v>0.179858789909214</v>
      </c>
      <c r="K65" s="53" t="n">
        <f aca="false">H65*J65</f>
        <v>9544.8839588311</v>
      </c>
      <c r="L65" s="53" t="n">
        <f aca="false">L64+K65</f>
        <v>49435.4441514616</v>
      </c>
    </row>
    <row r="66" customFormat="false" ht="15" hidden="false" customHeight="false" outlineLevel="0" collapsed="false">
      <c r="A66" s="46" t="n">
        <v>19</v>
      </c>
      <c r="B66" s="59" t="n">
        <f aca="false">IF(A66&lt;=Life,(1-Deg1)*(1-Degr)^(A66-1),0)</f>
        <v>0.888362287552593</v>
      </c>
      <c r="C66" s="23" t="n">
        <f aca="false">PilotKWh1*B66</f>
        <v>3824.23152313886</v>
      </c>
      <c r="D66" s="60" t="n">
        <f aca="false">Tariff*(1+TariffEsc)^(A66-1)</f>
        <v>15.3218975511591</v>
      </c>
      <c r="E66" s="53" t="n">
        <f aca="false">C66*D66</f>
        <v>58594.4836094469</v>
      </c>
      <c r="F66" s="53" t="n">
        <f aca="false">IF(A66&lt;=Life,-OMPct*PilotPhys,0)</f>
        <v>-4162.47</v>
      </c>
      <c r="G66" s="53" t="n">
        <f aca="false">IF(AND(A66=InvYear,InvYear&lt;Life),-InvRepl*PilotKWp,0)</f>
        <v>0</v>
      </c>
      <c r="H66" s="53" t="n">
        <f aca="false">E66+F66+G66</f>
        <v>54432.0136094469</v>
      </c>
      <c r="I66" s="53" t="n">
        <f aca="false">I65+H66</f>
        <v>538857.742070147</v>
      </c>
      <c r="J66" s="59" t="n">
        <f aca="false">1/(1+DiscRate)^A66</f>
        <v>0.163507990826558</v>
      </c>
      <c r="K66" s="53" t="n">
        <f aca="false">H66*J66</f>
        <v>8900.06918192451</v>
      </c>
      <c r="L66" s="53" t="n">
        <f aca="false">L65+K66</f>
        <v>58335.5133333861</v>
      </c>
    </row>
    <row r="67" customFormat="false" ht="15" hidden="false" customHeight="false" outlineLevel="0" collapsed="false">
      <c r="A67" s="46" t="n">
        <v>20</v>
      </c>
      <c r="B67" s="59" t="n">
        <f aca="false">IF(A67&lt;=Life,(1-Deg1)*(1-Degr)^(A67-1),0)</f>
        <v>0.883032113827278</v>
      </c>
      <c r="C67" s="23" t="n">
        <f aca="false">PilotKWh1*B67</f>
        <v>3801.28613400003</v>
      </c>
      <c r="D67" s="60" t="n">
        <f aca="false">Tariff*(1+TariffEsc)^(A67-1)</f>
        <v>15.7815544776939</v>
      </c>
      <c r="E67" s="53" t="n">
        <f aca="false">C67*D67</f>
        <v>59990.2042090239</v>
      </c>
      <c r="F67" s="53" t="n">
        <f aca="false">IF(A67&lt;=Life,-OMPct*PilotPhys,0)</f>
        <v>-4162.47</v>
      </c>
      <c r="G67" s="53" t="n">
        <f aca="false">IF(AND(A67=InvYear,InvYear&lt;Life),-InvRepl*PilotKWp,0)</f>
        <v>0</v>
      </c>
      <c r="H67" s="53" t="n">
        <f aca="false">E67+F67+G67</f>
        <v>55827.7342090239</v>
      </c>
      <c r="I67" s="53" t="n">
        <f aca="false">I66+H67</f>
        <v>594685.476279171</v>
      </c>
      <c r="J67" s="59" t="n">
        <f aca="false">1/(1+DiscRate)^A67</f>
        <v>0.148643628024143</v>
      </c>
      <c r="K67" s="53" t="n">
        <f aca="false">H67*J67</f>
        <v>8298.4369571969</v>
      </c>
      <c r="L67" s="53" t="n">
        <f aca="false">L66+K67</f>
        <v>66633.950290583</v>
      </c>
    </row>
    <row r="69" customFormat="false" ht="18" hidden="false" customHeight="true" outlineLevel="0" collapsed="false">
      <c r="A69" s="7" t="s">
        <v>391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</row>
    <row r="70" customFormat="false" ht="15" hidden="false" customHeight="false" outlineLevel="0" collapsed="false">
      <c r="A70" s="51" t="s">
        <v>368</v>
      </c>
      <c r="B70" s="51"/>
      <c r="C70" s="51"/>
      <c r="D70" s="51"/>
      <c r="E70" s="36" t="n">
        <f aca="false">C48</f>
        <v>4261.76264003477</v>
      </c>
    </row>
    <row r="71" customFormat="false" ht="15" hidden="false" customHeight="false" outlineLevel="0" collapsed="false">
      <c r="A71" s="51" t="s">
        <v>384</v>
      </c>
      <c r="B71" s="51"/>
      <c r="C71" s="51"/>
      <c r="D71" s="51"/>
      <c r="E71" s="57" t="n">
        <f aca="false">E48</f>
        <v>38355.863760313</v>
      </c>
    </row>
    <row r="72" customFormat="false" ht="15" hidden="false" customHeight="false" outlineLevel="0" collapsed="false">
      <c r="A72" s="51" t="s">
        <v>385</v>
      </c>
      <c r="B72" s="51"/>
      <c r="C72" s="51"/>
      <c r="D72" s="51"/>
      <c r="E72" s="57" t="n">
        <f aca="false">-F48</f>
        <v>4162.47</v>
      </c>
    </row>
    <row r="73" customFormat="false" ht="15" hidden="false" customHeight="false" outlineLevel="0" collapsed="false">
      <c r="A73" s="51" t="s">
        <v>16</v>
      </c>
      <c r="B73" s="51"/>
      <c r="C73" s="51"/>
      <c r="D73" s="51"/>
      <c r="E73" s="61" t="n">
        <f aca="false">IF(COUNTIF(I48:I67,"&lt;0")&gt;=20,"&gt; 20",COUNTIF(I48:I67,"&lt;0")+(-INDEX(I47:I67,COUNTIF(I48:I67,"&lt;0")+1))/INDEX(H47:H67,COUNTIF(I48:I67,"&lt;0")+2))</f>
        <v>7.44266436611779</v>
      </c>
    </row>
    <row r="74" customFormat="false" ht="15" hidden="false" customHeight="false" outlineLevel="0" collapsed="false">
      <c r="A74" s="51" t="s">
        <v>386</v>
      </c>
      <c r="B74" s="51"/>
      <c r="C74" s="51"/>
      <c r="D74" s="51"/>
      <c r="E74" s="61" t="n">
        <f aca="false">IF(COUNTIF(L48:L67,"&lt;0")&gt;=20,"&gt; 20",COUNTIF(L48:L67,"&lt;0")+(-INDEX(L47:L67,COUNTIF(L48:L67,"&lt;0")+1))/INDEX(K47:K67,COUNTIF(L48:L67,"&lt;0")+2))</f>
        <v>13.4526217356774</v>
      </c>
    </row>
    <row r="75" customFormat="false" ht="15" hidden="false" customHeight="false" outlineLevel="0" collapsed="false">
      <c r="A75" s="51" t="s">
        <v>387</v>
      </c>
      <c r="B75" s="51"/>
      <c r="C75" s="51"/>
      <c r="D75" s="51"/>
      <c r="E75" s="57" t="n">
        <f aca="false">L67</f>
        <v>66633.950290583</v>
      </c>
    </row>
    <row r="76" customFormat="false" ht="15" hidden="false" customHeight="false" outlineLevel="0" collapsed="false">
      <c r="A76" s="51" t="s">
        <v>17</v>
      </c>
      <c r="B76" s="51"/>
      <c r="C76" s="51"/>
      <c r="D76" s="51"/>
      <c r="E76" s="37" t="n">
        <f aca="false">IFERROR(IRR(H47:H67),"n/a")</f>
        <v>0.130736008658042</v>
      </c>
    </row>
    <row r="77" customFormat="false" ht="15" hidden="false" customHeight="false" outlineLevel="0" collapsed="false">
      <c r="A77" s="51" t="s">
        <v>388</v>
      </c>
      <c r="B77" s="51"/>
      <c r="C77" s="51"/>
      <c r="D77" s="51"/>
      <c r="E77" s="57" t="n">
        <f aca="false">I67</f>
        <v>594685.476279171</v>
      </c>
    </row>
    <row r="78" customFormat="false" ht="15" hidden="false" customHeight="false" outlineLevel="0" collapsed="false">
      <c r="A78" s="51" t="s">
        <v>389</v>
      </c>
      <c r="B78" s="51"/>
      <c r="C78" s="51"/>
      <c r="D78" s="51"/>
      <c r="E78" s="62" t="n">
        <f aca="false">IFERROR(I67/PilotPhys,"n/a")</f>
        <v>2.14302617056401</v>
      </c>
    </row>
  </sheetData>
  <mergeCells count="19">
    <mergeCell ref="A7:L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33"/>
    <pageSetUpPr fitToPage="false"/>
  </sheetPr>
  <dimension ref="A1:L8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9" min="8" style="0" width="15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16"/>
    <col collapsed="false" customWidth="true" hidden="false" outlineLevel="0" max="13" min="13" style="0" width="40"/>
  </cols>
  <sheetData>
    <row r="1" customFormat="false" ht="25.5" hidden="false" customHeight="true" outlineLevel="0" collapsed="false">
      <c r="A1" s="16" t="s">
        <v>392</v>
      </c>
    </row>
    <row r="2" customFormat="false" ht="15" hidden="false" customHeight="false" outlineLevel="0" collapsed="false">
      <c r="A2" s="17" t="s">
        <v>393</v>
      </c>
    </row>
    <row r="4" customFormat="false" ht="18" hidden="false" customHeight="true" outlineLevel="0" collapsed="false">
      <c r="A4" s="7" t="s">
        <v>394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customFormat="false" ht="15" hidden="false" customHeight="false" outlineLevel="0" collapsed="false">
      <c r="A5" s="51" t="s">
        <v>14</v>
      </c>
      <c r="B5" s="51"/>
      <c r="C5" s="51"/>
      <c r="D5" s="51"/>
      <c r="E5" s="51"/>
      <c r="F5" s="51"/>
      <c r="G5" s="51"/>
      <c r="H5" s="23" t="n">
        <f aca="false">CampusArea</f>
        <v>1000</v>
      </c>
    </row>
    <row r="6" customFormat="false" ht="15" hidden="false" customHeight="false" outlineLevel="0" collapsed="false">
      <c r="A6" s="51" t="s">
        <v>315</v>
      </c>
      <c r="B6" s="51"/>
      <c r="C6" s="51"/>
      <c r="D6" s="51"/>
      <c r="E6" s="51"/>
      <c r="F6" s="51"/>
      <c r="G6" s="51"/>
      <c r="H6" s="29" t="n">
        <f aca="false">RO_Area*PowerDens/1000</f>
        <v>160</v>
      </c>
    </row>
    <row r="7" customFormat="false" ht="15" hidden="false" customHeight="false" outlineLevel="0" collapsed="false">
      <c r="A7" s="51" t="s">
        <v>395</v>
      </c>
      <c r="B7" s="51"/>
      <c r="C7" s="51"/>
      <c r="D7" s="51"/>
      <c r="E7" s="51"/>
      <c r="F7" s="51"/>
      <c r="G7" s="51"/>
      <c r="H7" s="53" t="n">
        <f aca="false">IF(BuildType="New walkway",CivilNew,CivilOverlay)</f>
        <v>268</v>
      </c>
    </row>
    <row r="8" customFormat="false" ht="15" hidden="false" customHeight="false" outlineLevel="0" collapsed="false">
      <c r="A8" s="51" t="s">
        <v>396</v>
      </c>
      <c r="B8" s="51"/>
      <c r="C8" s="51"/>
      <c r="D8" s="51"/>
      <c r="E8" s="51"/>
      <c r="F8" s="51"/>
      <c r="G8" s="51"/>
      <c r="H8" s="53" t="n">
        <f aca="false">IF(RO_Area&lt;1000,GridT1,IF(RO_Area&lt;2500,GridT2,IF(RO_Area&lt;5000,GridT3,GridT4)))</f>
        <v>650</v>
      </c>
    </row>
    <row r="9" customFormat="false" ht="15" hidden="false" customHeight="false" outlineLevel="0" collapsed="false">
      <c r="A9" s="51" t="s">
        <v>397</v>
      </c>
      <c r="B9" s="51"/>
      <c r="C9" s="51"/>
      <c r="D9" s="51"/>
      <c r="E9" s="51"/>
      <c r="F9" s="51"/>
      <c r="G9" s="51"/>
      <c r="H9" s="53" t="n">
        <f aca="false">IF(RO_Area&gt;=ScaleFrom,PVScale,PVPilot)+MLPExtra</f>
        <v>8500</v>
      </c>
    </row>
    <row r="10" customFormat="false" ht="15" hidden="false" customHeight="false" outlineLevel="0" collapsed="false">
      <c r="A10" s="51" t="s">
        <v>398</v>
      </c>
      <c r="B10" s="51"/>
      <c r="C10" s="51"/>
      <c r="D10" s="51"/>
      <c r="E10" s="51"/>
      <c r="F10" s="51"/>
      <c r="G10" s="51"/>
      <c r="H10" s="53" t="n">
        <f aca="false">BOSWp*PowerDens</f>
        <v>1280</v>
      </c>
    </row>
    <row r="11" customFormat="false" ht="15" hidden="false" customHeight="false" outlineLevel="0" collapsed="false">
      <c r="A11" s="51" t="s">
        <v>399</v>
      </c>
      <c r="B11" s="51"/>
      <c r="C11" s="51"/>
      <c r="D11" s="51"/>
      <c r="E11" s="51"/>
      <c r="F11" s="51"/>
      <c r="G11" s="51"/>
      <c r="H11" s="53" t="n">
        <f aca="false">LogPct*(RO_Civil+RO_Grid+RO_PV+RO_BOS)</f>
        <v>534.9</v>
      </c>
    </row>
    <row r="12" customFormat="false" ht="15" hidden="false" customHeight="false" outlineLevel="0" collapsed="false">
      <c r="A12" s="51" t="s">
        <v>400</v>
      </c>
      <c r="B12" s="51"/>
      <c r="C12" s="51"/>
      <c r="D12" s="51"/>
      <c r="E12" s="51"/>
      <c r="F12" s="51"/>
      <c r="G12" s="51"/>
      <c r="H12" s="53" t="n">
        <f aca="false">ROUNDUP(RO_KWp/ConnKWp,0)*IntegLump/RO_Area</f>
        <v>100</v>
      </c>
    </row>
    <row r="13" customFormat="false" ht="15" hidden="false" customHeight="false" outlineLevel="0" collapsed="false">
      <c r="A13" s="51" t="s">
        <v>401</v>
      </c>
      <c r="B13" s="51"/>
      <c r="C13" s="51"/>
      <c r="D13" s="51"/>
      <c r="E13" s="51"/>
      <c r="F13" s="51"/>
      <c r="G13" s="51"/>
      <c r="H13" s="53" t="n">
        <f aca="false">InstallM2</f>
        <v>300</v>
      </c>
    </row>
    <row r="14" customFormat="false" ht="15" hidden="false" customHeight="false" outlineLevel="0" collapsed="false">
      <c r="A14" s="63" t="s">
        <v>402</v>
      </c>
      <c r="B14" s="63"/>
      <c r="C14" s="63"/>
      <c r="D14" s="63"/>
      <c r="E14" s="63"/>
      <c r="F14" s="63"/>
      <c r="G14" s="63"/>
      <c r="H14" s="57" t="n">
        <f aca="false">SUM(H7:H13)</f>
        <v>11632.9</v>
      </c>
    </row>
    <row r="15" customFormat="false" ht="15" hidden="false" customHeight="false" outlineLevel="0" collapsed="false">
      <c r="A15" s="51" t="s">
        <v>15</v>
      </c>
      <c r="B15" s="51"/>
      <c r="C15" s="51"/>
      <c r="D15" s="51"/>
      <c r="E15" s="51"/>
      <c r="F15" s="51"/>
      <c r="G15" s="51"/>
      <c r="H15" s="53" t="n">
        <f aca="false">RO_CostM2/10.7639</f>
        <v>1080.7328198887</v>
      </c>
    </row>
    <row r="16" customFormat="false" ht="15" hidden="false" customHeight="false" outlineLevel="0" collapsed="false">
      <c r="A16" s="51" t="s">
        <v>403</v>
      </c>
      <c r="B16" s="51"/>
      <c r="C16" s="51"/>
      <c r="D16" s="51"/>
      <c r="E16" s="51"/>
      <c r="F16" s="51"/>
      <c r="G16" s="51"/>
      <c r="H16" s="53" t="n">
        <f aca="false">IF(BuildType="New walkway",ConvWalk,0)</f>
        <v>1200</v>
      </c>
    </row>
    <row r="17" customFormat="false" ht="15" hidden="false" customHeight="false" outlineLevel="0" collapsed="false">
      <c r="A17" s="63" t="s">
        <v>404</v>
      </c>
      <c r="B17" s="63"/>
      <c r="C17" s="63"/>
      <c r="D17" s="63"/>
      <c r="E17" s="63"/>
      <c r="F17" s="63"/>
      <c r="G17" s="63"/>
      <c r="H17" s="57" t="n">
        <f aca="false">RO_CostM2-RO_Credit</f>
        <v>10432.9</v>
      </c>
    </row>
    <row r="18" customFormat="false" ht="15" hidden="false" customHeight="false" outlineLevel="0" collapsed="false">
      <c r="A18" s="51" t="s">
        <v>405</v>
      </c>
      <c r="B18" s="51"/>
      <c r="C18" s="51"/>
      <c r="D18" s="51"/>
      <c r="E18" s="51"/>
      <c r="F18" s="51"/>
      <c r="G18" s="51"/>
      <c r="H18" s="53" t="n">
        <f aca="false">RO_CostM2*RO_Area</f>
        <v>11632900</v>
      </c>
    </row>
    <row r="19" customFormat="false" ht="15" hidden="false" customHeight="false" outlineLevel="0" collapsed="false">
      <c r="A19" s="51" t="s">
        <v>406</v>
      </c>
      <c r="B19" s="51"/>
      <c r="C19" s="51"/>
      <c r="D19" s="51"/>
      <c r="E19" s="51"/>
      <c r="F19" s="51"/>
      <c r="G19" s="51"/>
      <c r="H19" s="53" t="n">
        <f aca="false">RO_NetM2*RO_Area</f>
        <v>10432900</v>
      </c>
    </row>
    <row r="20" customFormat="false" ht="15" hidden="false" customHeight="false" outlineLevel="0" collapsed="false">
      <c r="A20" s="51" t="s">
        <v>368</v>
      </c>
      <c r="B20" s="51"/>
      <c r="C20" s="51"/>
      <c r="D20" s="51"/>
      <c r="E20" s="51"/>
      <c r="F20" s="51"/>
      <c r="G20" s="51"/>
      <c r="H20" s="23" t="n">
        <f aca="false">RO_KWp*SpecYield</f>
        <v>215240.537375494</v>
      </c>
    </row>
    <row r="21" customFormat="false" ht="15" hidden="false" customHeight="false" outlineLevel="0" collapsed="false">
      <c r="A21" s="51" t="s">
        <v>407</v>
      </c>
      <c r="B21" s="51"/>
      <c r="C21" s="51"/>
      <c r="D21" s="51"/>
      <c r="E21" s="51"/>
      <c r="F21" s="51"/>
      <c r="G21" s="51"/>
      <c r="H21" s="53" t="n">
        <f aca="false">(RO_PV+RO_BOS+RO_Log+RO_Integ)/(PowerDens/1000)</f>
        <v>65093.125</v>
      </c>
    </row>
    <row r="24" customFormat="false" ht="23.85" hidden="false" customHeight="false" outlineLevel="0" collapsed="false">
      <c r="A24" s="18" t="s">
        <v>371</v>
      </c>
      <c r="B24" s="19" t="s">
        <v>372</v>
      </c>
      <c r="C24" s="19" t="s">
        <v>373</v>
      </c>
      <c r="D24" s="19" t="s">
        <v>374</v>
      </c>
      <c r="E24" s="19" t="s">
        <v>375</v>
      </c>
      <c r="F24" s="19" t="s">
        <v>376</v>
      </c>
      <c r="G24" s="19" t="s">
        <v>377</v>
      </c>
      <c r="H24" s="19" t="s">
        <v>378</v>
      </c>
      <c r="I24" s="19" t="s">
        <v>379</v>
      </c>
      <c r="J24" s="19" t="s">
        <v>380</v>
      </c>
      <c r="K24" s="19" t="s">
        <v>381</v>
      </c>
      <c r="L24" s="19" t="s">
        <v>382</v>
      </c>
    </row>
    <row r="25" customFormat="false" ht="15" hidden="false" customHeight="false" outlineLevel="0" collapsed="false">
      <c r="A25" s="46" t="n">
        <v>0</v>
      </c>
      <c r="H25" s="53" t="n">
        <f aca="false">-RO_NetCapex</f>
        <v>-10432900</v>
      </c>
      <c r="I25" s="53" t="n">
        <f aca="false">H25</f>
        <v>-10432900</v>
      </c>
      <c r="J25" s="59" t="n">
        <v>1</v>
      </c>
      <c r="K25" s="53" t="n">
        <f aca="false">H25*J25</f>
        <v>-10432900</v>
      </c>
      <c r="L25" s="53" t="n">
        <f aca="false">K25</f>
        <v>-10432900</v>
      </c>
    </row>
    <row r="26" customFormat="false" ht="15" hidden="false" customHeight="false" outlineLevel="0" collapsed="false">
      <c r="A26" s="46" t="n">
        <v>1</v>
      </c>
      <c r="B26" s="59" t="n">
        <f aca="false">IF(A26&lt;=Life,(1-Deg1)*(1-Degr)^(A26-1),0)</f>
        <v>0.99</v>
      </c>
      <c r="C26" s="23" t="n">
        <f aca="false">RO_Gen1*B26</f>
        <v>213088.132001739</v>
      </c>
      <c r="D26" s="60" t="n">
        <f aca="false">Tariff*(1+TariffEsc)^(A26-1)</f>
        <v>9</v>
      </c>
      <c r="E26" s="53" t="n">
        <f aca="false">C26*D26</f>
        <v>1917793.18801565</v>
      </c>
      <c r="F26" s="53" t="n">
        <f aca="false">IF(A26&lt;=Life,-OMPct*RO_Capex,0)</f>
        <v>-174493.5</v>
      </c>
      <c r="G26" s="53" t="n">
        <f aca="false">IF(AND(A26=InvYear,InvYear&lt;Life),-InvRepl*RO_KWp,0)</f>
        <v>0</v>
      </c>
      <c r="H26" s="53" t="n">
        <f aca="false">E26+F26+G26</f>
        <v>1743299.68801565</v>
      </c>
      <c r="I26" s="53" t="n">
        <f aca="false">I25+H26</f>
        <v>-8689600.31198435</v>
      </c>
      <c r="J26" s="59" t="n">
        <f aca="false">1/(1+DiscRate)^A26</f>
        <v>0.909090909090909</v>
      </c>
      <c r="K26" s="53" t="n">
        <f aca="false">H26*J26</f>
        <v>1584817.89819604</v>
      </c>
      <c r="L26" s="53" t="n">
        <f aca="false">L25+K26</f>
        <v>-8848082.10180396</v>
      </c>
    </row>
    <row r="27" customFormat="false" ht="15" hidden="false" customHeight="false" outlineLevel="0" collapsed="false">
      <c r="A27" s="46" t="n">
        <v>2</v>
      </c>
      <c r="B27" s="59" t="n">
        <f aca="false">IF(A27&lt;=Life,(1-Deg1)*(1-Degr)^(A27-1),0)</f>
        <v>0.98406</v>
      </c>
      <c r="C27" s="23" t="n">
        <f aca="false">RO_Gen1*B27</f>
        <v>211809.603209728</v>
      </c>
      <c r="D27" s="60" t="n">
        <f aca="false">Tariff*(1+TariffEsc)^(A27-1)</f>
        <v>9.27</v>
      </c>
      <c r="E27" s="53" t="n">
        <f aca="false">C27*D27</f>
        <v>1963475.02175418</v>
      </c>
      <c r="F27" s="53" t="n">
        <f aca="false">IF(A27&lt;=Life,-OMPct*RO_Capex,0)</f>
        <v>-174493.5</v>
      </c>
      <c r="G27" s="53" t="n">
        <f aca="false">IF(AND(A27=InvYear,InvYear&lt;Life),-InvRepl*RO_KWp,0)</f>
        <v>0</v>
      </c>
      <c r="H27" s="53" t="n">
        <f aca="false">E27+F27+G27</f>
        <v>1788981.52175418</v>
      </c>
      <c r="I27" s="53" t="n">
        <f aca="false">I26+H27</f>
        <v>-6900618.79023017</v>
      </c>
      <c r="J27" s="59" t="n">
        <f aca="false">1/(1+DiscRate)^A27</f>
        <v>0.826446280991735</v>
      </c>
      <c r="K27" s="53" t="n">
        <f aca="false">H27*J27</f>
        <v>1478497.12541668</v>
      </c>
      <c r="L27" s="53" t="n">
        <f aca="false">L26+K27</f>
        <v>-7369584.97638728</v>
      </c>
    </row>
    <row r="28" customFormat="false" ht="15" hidden="false" customHeight="false" outlineLevel="0" collapsed="false">
      <c r="A28" s="46" t="n">
        <v>3</v>
      </c>
      <c r="B28" s="59" t="n">
        <f aca="false">IF(A28&lt;=Life,(1-Deg1)*(1-Degr)^(A28-1),0)</f>
        <v>0.97815564</v>
      </c>
      <c r="C28" s="23" t="n">
        <f aca="false">RO_Gen1*B28</f>
        <v>210538.74559047</v>
      </c>
      <c r="D28" s="60" t="n">
        <f aca="false">Tariff*(1+TariffEsc)^(A28-1)</f>
        <v>9.5481</v>
      </c>
      <c r="E28" s="53" t="n">
        <f aca="false">C28*D28</f>
        <v>2010244.99677237</v>
      </c>
      <c r="F28" s="53" t="n">
        <f aca="false">IF(A28&lt;=Life,-OMPct*RO_Capex,0)</f>
        <v>-174493.5</v>
      </c>
      <c r="G28" s="53" t="n">
        <f aca="false">IF(AND(A28=InvYear,InvYear&lt;Life),-InvRepl*RO_KWp,0)</f>
        <v>0</v>
      </c>
      <c r="H28" s="53" t="n">
        <f aca="false">E28+F28+G28</f>
        <v>1835751.49677237</v>
      </c>
      <c r="I28" s="53" t="n">
        <f aca="false">I27+H28</f>
        <v>-5064867.29345781</v>
      </c>
      <c r="J28" s="59" t="n">
        <f aca="false">1/(1+DiscRate)^A28</f>
        <v>0.751314800901578</v>
      </c>
      <c r="K28" s="53" t="n">
        <f aca="false">H28*J28</f>
        <v>1379227.2703023</v>
      </c>
      <c r="L28" s="53" t="n">
        <f aca="false">L27+K28</f>
        <v>-5990357.70608498</v>
      </c>
    </row>
    <row r="29" customFormat="false" ht="15" hidden="false" customHeight="false" outlineLevel="0" collapsed="false">
      <c r="A29" s="46" t="n">
        <v>4</v>
      </c>
      <c r="B29" s="59" t="n">
        <f aca="false">IF(A29&lt;=Life,(1-Deg1)*(1-Degr)^(A29-1),0)</f>
        <v>0.97228670616</v>
      </c>
      <c r="C29" s="23" t="n">
        <f aca="false">RO_Gen1*B29</f>
        <v>209275.513116927</v>
      </c>
      <c r="D29" s="60" t="n">
        <f aca="false">Tariff*(1+TariffEsc)^(A29-1)</f>
        <v>9.834543</v>
      </c>
      <c r="E29" s="53" t="n">
        <f aca="false">C29*D29</f>
        <v>2058129.03259548</v>
      </c>
      <c r="F29" s="53" t="n">
        <f aca="false">IF(A29&lt;=Life,-OMPct*RO_Capex,0)</f>
        <v>-174493.5</v>
      </c>
      <c r="G29" s="53" t="n">
        <f aca="false">IF(AND(A29=InvYear,InvYear&lt;Life),-InvRepl*RO_KWp,0)</f>
        <v>0</v>
      </c>
      <c r="H29" s="53" t="n">
        <f aca="false">E29+F29+G29</f>
        <v>1883635.53259548</v>
      </c>
      <c r="I29" s="53" t="n">
        <f aca="false">I28+H29</f>
        <v>-3181231.76086233</v>
      </c>
      <c r="J29" s="59" t="n">
        <f aca="false">1/(1+DiscRate)^A29</f>
        <v>0.683013455365071</v>
      </c>
      <c r="K29" s="53" t="n">
        <f aca="false">H29*J29</f>
        <v>1286548.41376647</v>
      </c>
      <c r="L29" s="53" t="n">
        <f aca="false">L28+K29</f>
        <v>-4703809.29231851</v>
      </c>
    </row>
    <row r="30" customFormat="false" ht="15" hidden="false" customHeight="false" outlineLevel="0" collapsed="false">
      <c r="A30" s="46" t="n">
        <v>5</v>
      </c>
      <c r="B30" s="59" t="n">
        <f aca="false">IF(A30&lt;=Life,(1-Deg1)*(1-Degr)^(A30-1),0)</f>
        <v>0.96645298592304</v>
      </c>
      <c r="C30" s="23" t="n">
        <f aca="false">RO_Gen1*B30</f>
        <v>208019.860038225</v>
      </c>
      <c r="D30" s="60" t="n">
        <f aca="false">Tariff*(1+TariffEsc)^(A30-1)</f>
        <v>10.12957929</v>
      </c>
      <c r="E30" s="53" t="n">
        <f aca="false">C30*D30</f>
        <v>2107153.66615191</v>
      </c>
      <c r="F30" s="53" t="n">
        <f aca="false">IF(A30&lt;=Life,-OMPct*RO_Capex,0)</f>
        <v>-174493.5</v>
      </c>
      <c r="G30" s="53" t="n">
        <f aca="false">IF(AND(A30=InvYear,InvYear&lt;Life),-InvRepl*RO_KWp,0)</f>
        <v>0</v>
      </c>
      <c r="H30" s="53" t="n">
        <f aca="false">E30+F30+G30</f>
        <v>1932660.16615191</v>
      </c>
      <c r="I30" s="53" t="n">
        <f aca="false">I29+H30</f>
        <v>-1248571.59471042</v>
      </c>
      <c r="J30" s="59" t="n">
        <f aca="false">1/(1+DiscRate)^A30</f>
        <v>0.620921323059155</v>
      </c>
      <c r="K30" s="53" t="n">
        <f aca="false">H30*J30</f>
        <v>1200029.90739077</v>
      </c>
      <c r="L30" s="53" t="n">
        <f aca="false">L29+K30</f>
        <v>-3503779.38492774</v>
      </c>
    </row>
    <row r="31" customFormat="false" ht="15" hidden="false" customHeight="false" outlineLevel="0" collapsed="false">
      <c r="A31" s="46" t="n">
        <v>6</v>
      </c>
      <c r="B31" s="59" t="n">
        <f aca="false">IF(A31&lt;=Life,(1-Deg1)*(1-Degr)^(A31-1),0)</f>
        <v>0.960654268007502</v>
      </c>
      <c r="C31" s="23" t="n">
        <f aca="false">RO_Gen1*B31</f>
        <v>206771.740877996</v>
      </c>
      <c r="D31" s="60" t="n">
        <f aca="false">Tariff*(1+TariffEsc)^(A31-1)</f>
        <v>10.4334666687</v>
      </c>
      <c r="E31" s="53" t="n">
        <f aca="false">C31*D31</f>
        <v>2157346.06647965</v>
      </c>
      <c r="F31" s="53" t="n">
        <f aca="false">IF(A31&lt;=Life,-OMPct*RO_Capex,0)</f>
        <v>-174493.5</v>
      </c>
      <c r="G31" s="53" t="n">
        <f aca="false">IF(AND(A31=InvYear,InvYear&lt;Life),-InvRepl*RO_KWp,0)</f>
        <v>0</v>
      </c>
      <c r="H31" s="53" t="n">
        <f aca="false">E31+F31+G31</f>
        <v>1982852.56647965</v>
      </c>
      <c r="I31" s="53" t="n">
        <f aca="false">I30+H31</f>
        <v>734280.971769228</v>
      </c>
      <c r="J31" s="59" t="n">
        <f aca="false">1/(1+DiscRate)^A31</f>
        <v>0.564473930053777</v>
      </c>
      <c r="K31" s="53" t="n">
        <f aca="false">H31*J31</f>
        <v>1119268.58091798</v>
      </c>
      <c r="L31" s="53" t="n">
        <f aca="false">L30+K31</f>
        <v>-2384510.80400976</v>
      </c>
    </row>
    <row r="32" customFormat="false" ht="15" hidden="false" customHeight="false" outlineLevel="0" collapsed="false">
      <c r="A32" s="46" t="n">
        <v>7</v>
      </c>
      <c r="B32" s="59" t="n">
        <f aca="false">IF(A32&lt;=Life,(1-Deg1)*(1-Degr)^(A32-1),0)</f>
        <v>0.954890342399457</v>
      </c>
      <c r="C32" s="23" t="n">
        <f aca="false">RO_Gen1*B32</f>
        <v>205531.110432728</v>
      </c>
      <c r="D32" s="60" t="n">
        <f aca="false">Tariff*(1+TariffEsc)^(A32-1)</f>
        <v>10.746470668761</v>
      </c>
      <c r="E32" s="53" t="n">
        <f aca="false">C32*D32</f>
        <v>2208734.04978319</v>
      </c>
      <c r="F32" s="53" t="n">
        <f aca="false">IF(A32&lt;=Life,-OMPct*RO_Capex,0)</f>
        <v>-174493.5</v>
      </c>
      <c r="G32" s="53" t="n">
        <f aca="false">IF(AND(A32=InvYear,InvYear&lt;Life),-InvRepl*RO_KWp,0)</f>
        <v>0</v>
      </c>
      <c r="H32" s="53" t="n">
        <f aca="false">E32+F32+G32</f>
        <v>2034240.54978319</v>
      </c>
      <c r="I32" s="53" t="n">
        <f aca="false">I31+H32</f>
        <v>2768521.52155242</v>
      </c>
      <c r="J32" s="59" t="n">
        <f aca="false">1/(1+DiscRate)^A32</f>
        <v>0.513158118230707</v>
      </c>
      <c r="K32" s="53" t="n">
        <f aca="false">H32*J32</f>
        <v>1043887.05255534</v>
      </c>
      <c r="L32" s="53" t="n">
        <f aca="false">L31+K32</f>
        <v>-1340623.75145442</v>
      </c>
    </row>
    <row r="33" customFormat="false" ht="15" hidden="false" customHeight="false" outlineLevel="0" collapsed="false">
      <c r="A33" s="46" t="n">
        <v>8</v>
      </c>
      <c r="B33" s="59" t="n">
        <f aca="false">IF(A33&lt;=Life,(1-Deg1)*(1-Degr)^(A33-1),0)</f>
        <v>0.94916100034506</v>
      </c>
      <c r="C33" s="23" t="n">
        <f aca="false">RO_Gen1*B33</f>
        <v>204297.923770132</v>
      </c>
      <c r="D33" s="60" t="n">
        <f aca="false">Tariff*(1+TariffEsc)^(A33-1)</f>
        <v>11.0688647888238</v>
      </c>
      <c r="E33" s="53" t="n">
        <f aca="false">C33*D33</f>
        <v>2261346.09484903</v>
      </c>
      <c r="F33" s="53" t="n">
        <f aca="false">IF(A33&lt;=Life,-OMPct*RO_Capex,0)</f>
        <v>-174493.5</v>
      </c>
      <c r="G33" s="53" t="n">
        <f aca="false">IF(AND(A33=InvYear,InvYear&lt;Life),-InvRepl*RO_KWp,0)</f>
        <v>0</v>
      </c>
      <c r="H33" s="53" t="n">
        <f aca="false">E33+F33+G33</f>
        <v>2086852.59484903</v>
      </c>
      <c r="I33" s="53" t="n">
        <f aca="false">I32+H33</f>
        <v>4855374.11640145</v>
      </c>
      <c r="J33" s="59" t="n">
        <f aca="false">1/(1+DiscRate)^A33</f>
        <v>0.466507380209733</v>
      </c>
      <c r="K33" s="53" t="n">
        <f aca="false">H33*J33</f>
        <v>973532.136906903</v>
      </c>
      <c r="L33" s="53" t="n">
        <f aca="false">L32+K33</f>
        <v>-367091.614547516</v>
      </c>
    </row>
    <row r="34" customFormat="false" ht="15" hidden="false" customHeight="false" outlineLevel="0" collapsed="false">
      <c r="A34" s="46" t="n">
        <v>9</v>
      </c>
      <c r="B34" s="59" t="n">
        <f aca="false">IF(A34&lt;=Life,(1-Deg1)*(1-Degr)^(A34-1),0)</f>
        <v>0.94346603434299</v>
      </c>
      <c r="C34" s="23" t="n">
        <f aca="false">RO_Gen1*B34</f>
        <v>203072.136227511</v>
      </c>
      <c r="D34" s="60" t="n">
        <f aca="false">Tariff*(1+TariffEsc)^(A34-1)</f>
        <v>11.4009307324885</v>
      </c>
      <c r="E34" s="53" t="n">
        <f aca="false">C34*D34</f>
        <v>2315211.35882833</v>
      </c>
      <c r="F34" s="53" t="n">
        <f aca="false">IF(A34&lt;=Life,-OMPct*RO_Capex,0)</f>
        <v>-174493.5</v>
      </c>
      <c r="G34" s="53" t="n">
        <f aca="false">IF(AND(A34=InvYear,InvYear&lt;Life),-InvRepl*RO_KWp,0)</f>
        <v>0</v>
      </c>
      <c r="H34" s="53" t="n">
        <f aca="false">E34+F34+G34</f>
        <v>2140717.85882833</v>
      </c>
      <c r="I34" s="53" t="n">
        <f aca="false">I33+H34</f>
        <v>6996091.97522978</v>
      </c>
      <c r="J34" s="59" t="n">
        <f aca="false">1/(1+DiscRate)^A34</f>
        <v>0.424097618372485</v>
      </c>
      <c r="K34" s="53" t="n">
        <f aca="false">H34*J34</f>
        <v>907873.34553654</v>
      </c>
      <c r="L34" s="53" t="n">
        <f aca="false">L33+K34</f>
        <v>540781.730989024</v>
      </c>
    </row>
    <row r="35" customFormat="false" ht="15" hidden="false" customHeight="false" outlineLevel="0" collapsed="false">
      <c r="A35" s="46" t="n">
        <v>10</v>
      </c>
      <c r="B35" s="59" t="n">
        <f aca="false">IF(A35&lt;=Life,(1-Deg1)*(1-Degr)^(A35-1),0)</f>
        <v>0.937805238136932</v>
      </c>
      <c r="C35" s="23" t="n">
        <f aca="false">RO_Gen1*B35</f>
        <v>201853.703410146</v>
      </c>
      <c r="D35" s="60" t="n">
        <f aca="false">Tariff*(1+TariffEsc)^(A35-1)</f>
        <v>11.7429586544632</v>
      </c>
      <c r="E35" s="53" t="n">
        <f aca="false">C35*D35</f>
        <v>2370359.69339562</v>
      </c>
      <c r="F35" s="53" t="n">
        <f aca="false">IF(A35&lt;=Life,-OMPct*RO_Capex,0)</f>
        <v>-174493.5</v>
      </c>
      <c r="G35" s="53" t="n">
        <f aca="false">IF(AND(A35=InvYear,InvYear&lt;Life),-InvRepl*RO_KWp,0)</f>
        <v>0</v>
      </c>
      <c r="H35" s="53" t="n">
        <f aca="false">E35+F35+G35</f>
        <v>2195866.19339562</v>
      </c>
      <c r="I35" s="53" t="n">
        <f aca="false">I34+H35</f>
        <v>9191958.1686254</v>
      </c>
      <c r="J35" s="59" t="n">
        <f aca="false">1/(1+DiscRate)^A35</f>
        <v>0.385543289429531</v>
      </c>
      <c r="K35" s="53" t="n">
        <f aca="false">H35*J35</f>
        <v>846601.475348852</v>
      </c>
      <c r="L35" s="53" t="n">
        <f aca="false">L34+K35</f>
        <v>1387383.20633788</v>
      </c>
    </row>
    <row r="36" customFormat="false" ht="15" hidden="false" customHeight="false" outlineLevel="0" collapsed="false">
      <c r="A36" s="46" t="n">
        <v>11</v>
      </c>
      <c r="B36" s="59" t="n">
        <f aca="false">IF(A36&lt;=Life,(1-Deg1)*(1-Degr)^(A36-1),0)</f>
        <v>0.93217840670811</v>
      </c>
      <c r="C36" s="23" t="n">
        <f aca="false">RO_Gen1*B36</f>
        <v>200642.581189685</v>
      </c>
      <c r="D36" s="60" t="n">
        <f aca="false">Tariff*(1+TariffEsc)^(A36-1)</f>
        <v>12.0952474140971</v>
      </c>
      <c r="E36" s="53" t="n">
        <f aca="false">C36*D36</f>
        <v>2426821.66129231</v>
      </c>
      <c r="F36" s="53" t="n">
        <f aca="false">IF(A36&lt;=Life,-OMPct*RO_Capex,0)</f>
        <v>-174493.5</v>
      </c>
      <c r="G36" s="53" t="n">
        <f aca="false">IF(AND(A36=InvYear,InvYear&lt;Life),-InvRepl*RO_KWp,0)</f>
        <v>0</v>
      </c>
      <c r="H36" s="53" t="n">
        <f aca="false">E36+F36+G36</f>
        <v>2252328.16129231</v>
      </c>
      <c r="I36" s="53" t="n">
        <f aca="false">I35+H36</f>
        <v>11444286.3299177</v>
      </c>
      <c r="J36" s="59" t="n">
        <f aca="false">1/(1+DiscRate)^A36</f>
        <v>0.350493899481392</v>
      </c>
      <c r="K36" s="53" t="n">
        <f aca="false">H36*J36</f>
        <v>789427.280163094</v>
      </c>
      <c r="L36" s="53" t="n">
        <f aca="false">L35+K36</f>
        <v>2176810.48650097</v>
      </c>
    </row>
    <row r="37" customFormat="false" ht="15" hidden="false" customHeight="false" outlineLevel="0" collapsed="false">
      <c r="A37" s="46" t="n">
        <v>12</v>
      </c>
      <c r="B37" s="59" t="n">
        <f aca="false">IF(A37&lt;=Life,(1-Deg1)*(1-Degr)^(A37-1),0)</f>
        <v>0.926585336267861</v>
      </c>
      <c r="C37" s="23" t="n">
        <f aca="false">RO_Gen1*B37</f>
        <v>199438.725702547</v>
      </c>
      <c r="D37" s="60" t="n">
        <f aca="false">Tariff*(1+TariffEsc)^(A37-1)</f>
        <v>12.45810483652</v>
      </c>
      <c r="E37" s="53" t="n">
        <f aca="false">C37*D37</f>
        <v>2484628.55326429</v>
      </c>
      <c r="F37" s="53" t="n">
        <f aca="false">IF(A37&lt;=Life,-OMPct*RO_Capex,0)</f>
        <v>-174493.5</v>
      </c>
      <c r="G37" s="53" t="n">
        <f aca="false">IF(AND(A37=InvYear,InvYear&lt;Life),-InvRepl*RO_KWp,0)</f>
        <v>-640000</v>
      </c>
      <c r="H37" s="53" t="n">
        <f aca="false">E37+F37+G37</f>
        <v>1670135.05326429</v>
      </c>
      <c r="I37" s="53" t="n">
        <f aca="false">I36+H37</f>
        <v>13114421.383182</v>
      </c>
      <c r="J37" s="59" t="n">
        <f aca="false">1/(1+DiscRate)^A37</f>
        <v>0.318630817710357</v>
      </c>
      <c r="K37" s="53" t="n">
        <f aca="false">H37*J37</f>
        <v>532156.49770833</v>
      </c>
      <c r="L37" s="53" t="n">
        <f aca="false">L36+K37</f>
        <v>2708966.9842093</v>
      </c>
    </row>
    <row r="38" customFormat="false" ht="15" hidden="false" customHeight="false" outlineLevel="0" collapsed="false">
      <c r="A38" s="46" t="n">
        <v>13</v>
      </c>
      <c r="B38" s="59" t="n">
        <f aca="false">IF(A38&lt;=Life,(1-Deg1)*(1-Degr)^(A38-1),0)</f>
        <v>0.921025824250254</v>
      </c>
      <c r="C38" s="23" t="n">
        <f aca="false">RO_Gen1*B38</f>
        <v>198242.093348332</v>
      </c>
      <c r="D38" s="60" t="n">
        <f aca="false">Tariff*(1+TariffEsc)^(A38-1)</f>
        <v>12.8318479816156</v>
      </c>
      <c r="E38" s="53" t="n">
        <f aca="false">C38*D38</f>
        <v>2543812.40540304</v>
      </c>
      <c r="F38" s="53" t="n">
        <f aca="false">IF(A38&lt;=Life,-OMPct*RO_Capex,0)</f>
        <v>-174493.5</v>
      </c>
      <c r="G38" s="53" t="n">
        <f aca="false">IF(AND(A38=InvYear,InvYear&lt;Life),-InvRepl*RO_KWp,0)</f>
        <v>0</v>
      </c>
      <c r="H38" s="53" t="n">
        <f aca="false">E38+F38+G38</f>
        <v>2369318.90540304</v>
      </c>
      <c r="I38" s="53" t="n">
        <f aca="false">I37+H38</f>
        <v>15483740.288585</v>
      </c>
      <c r="J38" s="59" t="n">
        <f aca="false">1/(1+DiscRate)^A38</f>
        <v>0.289664379736688</v>
      </c>
      <c r="K38" s="53" t="n">
        <f aca="false">H38*J38</f>
        <v>686307.29113198</v>
      </c>
      <c r="L38" s="53" t="n">
        <f aca="false">L37+K38</f>
        <v>3395274.27534128</v>
      </c>
    </row>
    <row r="39" customFormat="false" ht="15" hidden="false" customHeight="false" outlineLevel="0" collapsed="false">
      <c r="A39" s="46" t="n">
        <v>14</v>
      </c>
      <c r="B39" s="59" t="n">
        <f aca="false">IF(A39&lt;=Life,(1-Deg1)*(1-Degr)^(A39-1),0)</f>
        <v>0.915499669304753</v>
      </c>
      <c r="C39" s="23" t="n">
        <f aca="false">RO_Gen1*B39</f>
        <v>197052.640788242</v>
      </c>
      <c r="D39" s="60" t="n">
        <f aca="false">Tariff*(1+TariffEsc)^(A39-1)</f>
        <v>13.2168034210641</v>
      </c>
      <c r="E39" s="53" t="n">
        <f aca="false">C39*D39</f>
        <v>2604406.01689974</v>
      </c>
      <c r="F39" s="53" t="n">
        <f aca="false">IF(A39&lt;=Life,-OMPct*RO_Capex,0)</f>
        <v>-174493.5</v>
      </c>
      <c r="G39" s="53" t="n">
        <f aca="false">IF(AND(A39=InvYear,InvYear&lt;Life),-InvRepl*RO_KWp,0)</f>
        <v>0</v>
      </c>
      <c r="H39" s="53" t="n">
        <f aca="false">E39+F39+G39</f>
        <v>2429912.51689974</v>
      </c>
      <c r="I39" s="53" t="n">
        <f aca="false">I38+H39</f>
        <v>17913652.8054848</v>
      </c>
      <c r="J39" s="59" t="n">
        <f aca="false">1/(1+DiscRate)^A39</f>
        <v>0.26333125430608</v>
      </c>
      <c r="K39" s="53" t="n">
        <f aca="false">H39*J39</f>
        <v>639871.910929253</v>
      </c>
      <c r="L39" s="53" t="n">
        <f aca="false">L38+K39</f>
        <v>4035146.18627053</v>
      </c>
    </row>
    <row r="40" customFormat="false" ht="15" hidden="false" customHeight="false" outlineLevel="0" collapsed="false">
      <c r="A40" s="46" t="n">
        <v>15</v>
      </c>
      <c r="B40" s="59" t="n">
        <f aca="false">IF(A40&lt;=Life,(1-Deg1)*(1-Degr)^(A40-1),0)</f>
        <v>0.910006671288924</v>
      </c>
      <c r="C40" s="23" t="n">
        <f aca="false">RO_Gen1*B40</f>
        <v>195870.324943512</v>
      </c>
      <c r="D40" s="60" t="n">
        <f aca="false">Tariff*(1+TariffEsc)^(A40-1)</f>
        <v>13.613307523696</v>
      </c>
      <c r="E40" s="53" t="n">
        <f aca="false">C40*D40</f>
        <v>2666442.9682223</v>
      </c>
      <c r="F40" s="53" t="n">
        <f aca="false">IF(A40&lt;=Life,-OMPct*RO_Capex,0)</f>
        <v>-174493.5</v>
      </c>
      <c r="G40" s="53" t="n">
        <f aca="false">IF(AND(A40=InvYear,InvYear&lt;Life),-InvRepl*RO_KWp,0)</f>
        <v>0</v>
      </c>
      <c r="H40" s="53" t="n">
        <f aca="false">E40+F40+G40</f>
        <v>2491949.4682223</v>
      </c>
      <c r="I40" s="53" t="n">
        <f aca="false">I39+H40</f>
        <v>20405602.2737071</v>
      </c>
      <c r="J40" s="59" t="n">
        <f aca="false">1/(1+DiscRate)^A40</f>
        <v>0.239392049369163</v>
      </c>
      <c r="K40" s="53" t="n">
        <f aca="false">H40*J40</f>
        <v>596552.890122132</v>
      </c>
      <c r="L40" s="53" t="n">
        <f aca="false">L39+K40</f>
        <v>4631699.07639267</v>
      </c>
    </row>
    <row r="41" customFormat="false" ht="15" hidden="false" customHeight="false" outlineLevel="0" collapsed="false">
      <c r="A41" s="46" t="n">
        <v>16</v>
      </c>
      <c r="B41" s="59" t="n">
        <f aca="false">IF(A41&lt;=Life,(1-Deg1)*(1-Degr)^(A41-1),0)</f>
        <v>0.904546631261191</v>
      </c>
      <c r="C41" s="23" t="n">
        <f aca="false">RO_Gen1*B41</f>
        <v>194695.102993851</v>
      </c>
      <c r="D41" s="60" t="n">
        <f aca="false">Tariff*(1+TariffEsc)^(A41-1)</f>
        <v>14.0217067494069</v>
      </c>
      <c r="E41" s="53" t="n">
        <f aca="false">C41*D41</f>
        <v>2729957.63972535</v>
      </c>
      <c r="F41" s="53" t="n">
        <f aca="false">IF(A41&lt;=Life,-OMPct*RO_Capex,0)</f>
        <v>-174493.5</v>
      </c>
      <c r="G41" s="53" t="n">
        <f aca="false">IF(AND(A41=InvYear,InvYear&lt;Life),-InvRepl*RO_KWp,0)</f>
        <v>0</v>
      </c>
      <c r="H41" s="53" t="n">
        <f aca="false">E41+F41+G41</f>
        <v>2555464.13972535</v>
      </c>
      <c r="I41" s="53" t="n">
        <f aca="false">I40+H41</f>
        <v>22961066.4134324</v>
      </c>
      <c r="J41" s="59" t="n">
        <f aca="false">1/(1+DiscRate)^A41</f>
        <v>0.217629135790149</v>
      </c>
      <c r="K41" s="53" t="n">
        <f aca="false">H41*J41</f>
        <v>556143.452271143</v>
      </c>
      <c r="L41" s="53" t="n">
        <f aca="false">L40+K41</f>
        <v>5187842.52866381</v>
      </c>
    </row>
    <row r="42" customFormat="false" ht="15" hidden="false" customHeight="false" outlineLevel="0" collapsed="false">
      <c r="A42" s="46" t="n">
        <v>17</v>
      </c>
      <c r="B42" s="59" t="n">
        <f aca="false">IF(A42&lt;=Life,(1-Deg1)*(1-Degr)^(A42-1),0)</f>
        <v>0.899119351473623</v>
      </c>
      <c r="C42" s="23" t="n">
        <f aca="false">RO_Gen1*B42</f>
        <v>193526.932375888</v>
      </c>
      <c r="D42" s="60" t="n">
        <f aca="false">Tariff*(1+TariffEsc)^(A42-1)</f>
        <v>14.4423579518891</v>
      </c>
      <c r="E42" s="53" t="n">
        <f aca="false">C42*D42</f>
        <v>2794985.23070361</v>
      </c>
      <c r="F42" s="53" t="n">
        <f aca="false">IF(A42&lt;=Life,-OMPct*RO_Capex,0)</f>
        <v>-174493.5</v>
      </c>
      <c r="G42" s="53" t="n">
        <f aca="false">IF(AND(A42=InvYear,InvYear&lt;Life),-InvRepl*RO_KWp,0)</f>
        <v>0</v>
      </c>
      <c r="H42" s="53" t="n">
        <f aca="false">E42+F42+G42</f>
        <v>2620491.73070361</v>
      </c>
      <c r="I42" s="53" t="n">
        <f aca="false">I41+H42</f>
        <v>25581558.144136</v>
      </c>
      <c r="J42" s="59" t="n">
        <f aca="false">1/(1+DiscRate)^A42</f>
        <v>0.197844668900135</v>
      </c>
      <c r="K42" s="53" t="n">
        <f aca="false">H42*J42</f>
        <v>518450.318816597</v>
      </c>
      <c r="L42" s="53" t="n">
        <f aca="false">L41+K42</f>
        <v>5706292.84748041</v>
      </c>
    </row>
    <row r="43" customFormat="false" ht="15" hidden="false" customHeight="false" outlineLevel="0" collapsed="false">
      <c r="A43" s="46" t="n">
        <v>18</v>
      </c>
      <c r="B43" s="59" t="n">
        <f aca="false">IF(A43&lt;=Life,(1-Deg1)*(1-Degr)^(A43-1),0)</f>
        <v>0.893724635364782</v>
      </c>
      <c r="C43" s="23" t="n">
        <f aca="false">RO_Gen1*B43</f>
        <v>192365.770781633</v>
      </c>
      <c r="D43" s="60" t="n">
        <f aca="false">Tariff*(1+TariffEsc)^(A43-1)</f>
        <v>14.8756286904458</v>
      </c>
      <c r="E43" s="53" t="n">
        <f aca="false">C43*D43</f>
        <v>2861561.77889897</v>
      </c>
      <c r="F43" s="53" t="n">
        <f aca="false">IF(A43&lt;=Life,-OMPct*RO_Capex,0)</f>
        <v>-174493.5</v>
      </c>
      <c r="G43" s="53" t="n">
        <f aca="false">IF(AND(A43=InvYear,InvYear&lt;Life),-InvRepl*RO_KWp,0)</f>
        <v>0</v>
      </c>
      <c r="H43" s="53" t="n">
        <f aca="false">E43+F43+G43</f>
        <v>2687068.27889897</v>
      </c>
      <c r="I43" s="53" t="n">
        <f aca="false">I42+H43</f>
        <v>28268626.423035</v>
      </c>
      <c r="J43" s="59" t="n">
        <f aca="false">1/(1+DiscRate)^A43</f>
        <v>0.179858789909214</v>
      </c>
      <c r="K43" s="53" t="n">
        <f aca="false">H43*J43</f>
        <v>483292.849046202</v>
      </c>
      <c r="L43" s="53" t="n">
        <f aca="false">L42+K43</f>
        <v>6189585.69652661</v>
      </c>
    </row>
    <row r="44" customFormat="false" ht="15" hidden="false" customHeight="false" outlineLevel="0" collapsed="false">
      <c r="A44" s="46" t="n">
        <v>19</v>
      </c>
      <c r="B44" s="59" t="n">
        <f aca="false">IF(A44&lt;=Life,(1-Deg1)*(1-Degr)^(A44-1),0)</f>
        <v>0.888362287552593</v>
      </c>
      <c r="C44" s="23" t="n">
        <f aca="false">RO_Gen1*B44</f>
        <v>191211.576156943</v>
      </c>
      <c r="D44" s="60" t="n">
        <f aca="false">Tariff*(1+TariffEsc)^(A44-1)</f>
        <v>15.3218975511591</v>
      </c>
      <c r="E44" s="53" t="n">
        <f aca="false">C44*D44</f>
        <v>2929724.18047234</v>
      </c>
      <c r="F44" s="53" t="n">
        <f aca="false">IF(A44&lt;=Life,-OMPct*RO_Capex,0)</f>
        <v>-174493.5</v>
      </c>
      <c r="G44" s="53" t="n">
        <f aca="false">IF(AND(A44=InvYear,InvYear&lt;Life),-InvRepl*RO_KWp,0)</f>
        <v>0</v>
      </c>
      <c r="H44" s="53" t="n">
        <f aca="false">E44+F44+G44</f>
        <v>2755230.68047234</v>
      </c>
      <c r="I44" s="53" t="n">
        <f aca="false">I43+H44</f>
        <v>31023857.1035073</v>
      </c>
      <c r="J44" s="59" t="n">
        <f aca="false">1/(1+DiscRate)^A44</f>
        <v>0.163507990826558</v>
      </c>
      <c r="K44" s="53" t="n">
        <f aca="false">H44*J44</f>
        <v>450502.232827722</v>
      </c>
      <c r="L44" s="53" t="n">
        <f aca="false">L43+K44</f>
        <v>6640087.92935433</v>
      </c>
    </row>
    <row r="45" customFormat="false" ht="15" hidden="false" customHeight="false" outlineLevel="0" collapsed="false">
      <c r="A45" s="46" t="n">
        <v>20</v>
      </c>
      <c r="B45" s="59" t="n">
        <f aca="false">IF(A45&lt;=Life,(1-Deg1)*(1-Degr)^(A45-1),0)</f>
        <v>0.883032113827278</v>
      </c>
      <c r="C45" s="23" t="n">
        <f aca="false">RO_Gen1*B45</f>
        <v>190064.306700001</v>
      </c>
      <c r="D45" s="60" t="n">
        <f aca="false">Tariff*(1+TariffEsc)^(A45-1)</f>
        <v>15.7815544776939</v>
      </c>
      <c r="E45" s="53" t="n">
        <f aca="false">C45*D45</f>
        <v>2999510.21045119</v>
      </c>
      <c r="F45" s="53" t="n">
        <f aca="false">IF(A45&lt;=Life,-OMPct*RO_Capex,0)</f>
        <v>-174493.5</v>
      </c>
      <c r="G45" s="53" t="n">
        <f aca="false">IF(AND(A45=InvYear,InvYear&lt;Life),-InvRepl*RO_KWp,0)</f>
        <v>0</v>
      </c>
      <c r="H45" s="53" t="n">
        <f aca="false">E45+F45+G45</f>
        <v>2825016.71045119</v>
      </c>
      <c r="I45" s="53" t="n">
        <f aca="false">I44+H45</f>
        <v>33848873.8139585</v>
      </c>
      <c r="J45" s="59" t="n">
        <f aca="false">1/(1+DiscRate)^A45</f>
        <v>0.148643628024143</v>
      </c>
      <c r="K45" s="53" t="n">
        <f aca="false">H45*J45</f>
        <v>419920.733070297</v>
      </c>
      <c r="L45" s="53" t="n">
        <f aca="false">L44+K45</f>
        <v>7060008.66242463</v>
      </c>
    </row>
    <row r="47" customFormat="false" ht="18" hidden="false" customHeight="true" outlineLevel="0" collapsed="false">
      <c r="A47" s="7" t="s">
        <v>408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customFormat="false" ht="15" hidden="false" customHeight="false" outlineLevel="0" collapsed="false">
      <c r="A48" s="51" t="s">
        <v>368</v>
      </c>
      <c r="B48" s="51"/>
      <c r="C48" s="51"/>
      <c r="D48" s="51"/>
      <c r="E48" s="36" t="n">
        <f aca="false">C26</f>
        <v>213088.132001739</v>
      </c>
    </row>
    <row r="49" customFormat="false" ht="15" hidden="false" customHeight="false" outlineLevel="0" collapsed="false">
      <c r="A49" s="51" t="s">
        <v>384</v>
      </c>
      <c r="B49" s="51"/>
      <c r="C49" s="51"/>
      <c r="D49" s="51"/>
      <c r="E49" s="57" t="n">
        <f aca="false">E26</f>
        <v>1917793.18801565</v>
      </c>
    </row>
    <row r="50" customFormat="false" ht="15" hidden="false" customHeight="false" outlineLevel="0" collapsed="false">
      <c r="A50" s="51" t="s">
        <v>385</v>
      </c>
      <c r="B50" s="51"/>
      <c r="C50" s="51"/>
      <c r="D50" s="51"/>
      <c r="E50" s="57" t="n">
        <f aca="false">-F26</f>
        <v>174493.5</v>
      </c>
    </row>
    <row r="51" customFormat="false" ht="15" hidden="false" customHeight="false" outlineLevel="0" collapsed="false">
      <c r="A51" s="51" t="s">
        <v>16</v>
      </c>
      <c r="B51" s="51"/>
      <c r="C51" s="51"/>
      <c r="D51" s="51"/>
      <c r="E51" s="61" t="n">
        <f aca="false">IF(COUNTIF(I26:I45,"&lt;0")&gt;=20,"&gt; 20",COUNTIF(I26:I45,"&lt;0")+(-INDEX(I25:I45,COUNTIF(I26:I45,"&lt;0")+1))/INDEX(H25:H45,COUNTIF(I26:I45,"&lt;0")+2))</f>
        <v>5.6296845341997</v>
      </c>
    </row>
    <row r="52" customFormat="false" ht="15" hidden="false" customHeight="false" outlineLevel="0" collapsed="false">
      <c r="A52" s="51" t="s">
        <v>386</v>
      </c>
      <c r="B52" s="51"/>
      <c r="C52" s="51"/>
      <c r="D52" s="51"/>
      <c r="E52" s="61" t="n">
        <f aca="false">IF(COUNTIF(L26:L45,"&lt;0")&gt;=20,"&gt; 20",COUNTIF(L26:L45,"&lt;0")+(-INDEX(L25:L45,COUNTIF(L26:L45,"&lt;0")+1))/INDEX(K25:K45,COUNTIF(L26:L45,"&lt;0")+2))</f>
        <v>8.40434231972145</v>
      </c>
    </row>
    <row r="53" customFormat="false" ht="15" hidden="false" customHeight="false" outlineLevel="0" collapsed="false">
      <c r="A53" s="51" t="s">
        <v>387</v>
      </c>
      <c r="B53" s="51"/>
      <c r="C53" s="51"/>
      <c r="D53" s="51"/>
      <c r="E53" s="57" t="n">
        <f aca="false">L45</f>
        <v>7060008.66242463</v>
      </c>
    </row>
    <row r="54" customFormat="false" ht="15" hidden="false" customHeight="false" outlineLevel="0" collapsed="false">
      <c r="A54" s="51" t="s">
        <v>17</v>
      </c>
      <c r="B54" s="51"/>
      <c r="C54" s="51"/>
      <c r="D54" s="51"/>
      <c r="E54" s="37" t="n">
        <f aca="false">IFERROR(IRR(H25:H45),"n/a")</f>
        <v>0.181911756069019</v>
      </c>
    </row>
    <row r="55" customFormat="false" ht="15" hidden="false" customHeight="false" outlineLevel="0" collapsed="false">
      <c r="A55" s="51" t="s">
        <v>388</v>
      </c>
      <c r="B55" s="51"/>
      <c r="C55" s="51"/>
      <c r="D55" s="51"/>
      <c r="E55" s="57" t="n">
        <f aca="false">I45</f>
        <v>33848873.8139585</v>
      </c>
    </row>
    <row r="56" customFormat="false" ht="15" hidden="false" customHeight="false" outlineLevel="0" collapsed="false">
      <c r="A56" s="51" t="s">
        <v>389</v>
      </c>
      <c r="B56" s="51"/>
      <c r="C56" s="51"/>
      <c r="D56" s="51"/>
      <c r="E56" s="62" t="n">
        <f aca="false">IFERROR(I45/RO_NetCapex,"n/a")</f>
        <v>3.2444357574556</v>
      </c>
    </row>
    <row r="59" customFormat="false" ht="18" hidden="false" customHeight="true" outlineLevel="0" collapsed="false">
      <c r="A59" s="7" t="s">
        <v>409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</row>
    <row r="60" customFormat="false" ht="23.85" hidden="false" customHeight="false" outlineLevel="0" collapsed="false">
      <c r="A60" s="18" t="s">
        <v>371</v>
      </c>
      <c r="B60" s="19" t="s">
        <v>410</v>
      </c>
      <c r="C60" s="19" t="s">
        <v>411</v>
      </c>
      <c r="D60" s="19" t="s">
        <v>412</v>
      </c>
      <c r="E60" s="19" t="s">
        <v>413</v>
      </c>
    </row>
    <row r="61" customFormat="false" ht="15" hidden="false" customHeight="false" outlineLevel="0" collapsed="false">
      <c r="A61" s="46" t="n">
        <v>0</v>
      </c>
      <c r="B61" s="53" t="n">
        <v>0</v>
      </c>
      <c r="C61" s="53" t="n">
        <v>0</v>
      </c>
      <c r="D61" s="53" t="n">
        <v>0</v>
      </c>
      <c r="E61" s="53" t="n">
        <f aca="false">H25</f>
        <v>-10432900</v>
      </c>
    </row>
    <row r="62" customFormat="false" ht="15" hidden="false" customHeight="false" outlineLevel="0" collapsed="false">
      <c r="A62" s="46" t="n">
        <v>1</v>
      </c>
      <c r="B62" s="53" t="n">
        <f aca="false">(RO_PV+RO_BOS+RO_Log+RO_Integ)*RO_Area</f>
        <v>10414900</v>
      </c>
      <c r="C62" s="53" t="n">
        <f aca="false">B62*ADRate</f>
        <v>4165960</v>
      </c>
      <c r="D62" s="53" t="n">
        <f aca="false">C62*TaxRate</f>
        <v>1048572.132</v>
      </c>
      <c r="E62" s="53" t="n">
        <f aca="false">H26*(1-TaxRate)+D62</f>
        <v>2353083.28854211</v>
      </c>
    </row>
    <row r="63" customFormat="false" ht="15" hidden="false" customHeight="false" outlineLevel="0" collapsed="false">
      <c r="A63" s="46" t="n">
        <v>2</v>
      </c>
      <c r="B63" s="53" t="n">
        <f aca="false">B62-C62</f>
        <v>6248940</v>
      </c>
      <c r="C63" s="53" t="n">
        <f aca="false">B63*ADRate</f>
        <v>2499576</v>
      </c>
      <c r="D63" s="53" t="n">
        <f aca="false">C63*TaxRate</f>
        <v>629143.2792</v>
      </c>
      <c r="E63" s="53" t="n">
        <f aca="false">H27*(1-TaxRate)+D63</f>
        <v>1967838.15192865</v>
      </c>
    </row>
    <row r="64" customFormat="false" ht="15" hidden="false" customHeight="false" outlineLevel="0" collapsed="false">
      <c r="A64" s="46" t="n">
        <v>3</v>
      </c>
      <c r="B64" s="53" t="n">
        <f aca="false">B63-C63</f>
        <v>3749364</v>
      </c>
      <c r="C64" s="53" t="n">
        <f aca="false">B64*ADRate</f>
        <v>1499745.6</v>
      </c>
      <c r="D64" s="53" t="n">
        <f aca="false">C64*TaxRate</f>
        <v>377485.96752</v>
      </c>
      <c r="E64" s="53" t="n">
        <f aca="false">H28*(1-TaxRate)+D64</f>
        <v>1751178.81255476</v>
      </c>
    </row>
    <row r="65" customFormat="false" ht="15" hidden="false" customHeight="false" outlineLevel="0" collapsed="false">
      <c r="A65" s="46" t="n">
        <v>4</v>
      </c>
      <c r="B65" s="53" t="n">
        <f aca="false">B64-C64</f>
        <v>2249618.4</v>
      </c>
      <c r="C65" s="53" t="n">
        <f aca="false">B65*ADRate</f>
        <v>899847.36</v>
      </c>
      <c r="D65" s="53" t="n">
        <f aca="false">C65*TaxRate</f>
        <v>226491.580512</v>
      </c>
      <c r="E65" s="53" t="n">
        <f aca="false">H29*(1-TaxRate)+D65</f>
        <v>1636016.0495532</v>
      </c>
    </row>
    <row r="66" customFormat="false" ht="15" hidden="false" customHeight="false" outlineLevel="0" collapsed="false">
      <c r="A66" s="46" t="n">
        <v>5</v>
      </c>
      <c r="B66" s="53" t="n">
        <f aca="false">B65-C65</f>
        <v>1349771.04</v>
      </c>
      <c r="C66" s="53" t="n">
        <f aca="false">B66*ADRate</f>
        <v>539908.416</v>
      </c>
      <c r="D66" s="53" t="n">
        <f aca="false">C66*TaxRate</f>
        <v>135894.9483072</v>
      </c>
      <c r="E66" s="53" t="n">
        <f aca="false">H30*(1-TaxRate)+D66</f>
        <v>1582104.55063867</v>
      </c>
    </row>
    <row r="67" customFormat="false" ht="15" hidden="false" customHeight="false" outlineLevel="0" collapsed="false">
      <c r="A67" s="46" t="n">
        <v>6</v>
      </c>
      <c r="B67" s="53" t="n">
        <f aca="false">B66-C66</f>
        <v>809862.624</v>
      </c>
      <c r="C67" s="53" t="n">
        <f aca="false">B67*ADRate</f>
        <v>323945.0496</v>
      </c>
      <c r="D67" s="53" t="n">
        <f aca="false">C67*TaxRate</f>
        <v>81536.96898432</v>
      </c>
      <c r="E67" s="53" t="n">
        <f aca="false">H31*(1-TaxRate)+D67</f>
        <v>1565305.54448104</v>
      </c>
    </row>
    <row r="68" customFormat="false" ht="15" hidden="false" customHeight="false" outlineLevel="0" collapsed="false">
      <c r="A68" s="46" t="n">
        <v>7</v>
      </c>
      <c r="B68" s="53" t="n">
        <f aca="false">B67-C67</f>
        <v>485917.5744</v>
      </c>
      <c r="C68" s="53" t="n">
        <f aca="false">B68*ADRate</f>
        <v>194367.02976</v>
      </c>
      <c r="D68" s="53" t="n">
        <f aca="false">C68*TaxRate</f>
        <v>48922.181390592</v>
      </c>
      <c r="E68" s="53" t="n">
        <f aca="false">H32*(1-TaxRate)+D68</f>
        <v>1571144.38479335</v>
      </c>
    </row>
    <row r="69" customFormat="false" ht="15" hidden="false" customHeight="false" outlineLevel="0" collapsed="false">
      <c r="A69" s="46" t="n">
        <v>8</v>
      </c>
      <c r="B69" s="53" t="n">
        <f aca="false">B68-C68</f>
        <v>291550.54464</v>
      </c>
      <c r="C69" s="53" t="n">
        <f aca="false">B69*ADRate</f>
        <v>116620.217856</v>
      </c>
      <c r="D69" s="53" t="n">
        <f aca="false">C69*TaxRate</f>
        <v>29353.3088343552</v>
      </c>
      <c r="E69" s="53" t="n">
        <f aca="false">H33*(1-TaxRate)+D69</f>
        <v>1590945.10555988</v>
      </c>
    </row>
    <row r="70" customFormat="false" ht="15" hidden="false" customHeight="false" outlineLevel="0" collapsed="false">
      <c r="A70" s="46" t="n">
        <v>9</v>
      </c>
      <c r="B70" s="53" t="n">
        <f aca="false">B69-C69</f>
        <v>174930.326784</v>
      </c>
      <c r="C70" s="53" t="n">
        <f aca="false">B70*ADRate</f>
        <v>69972.1307136</v>
      </c>
      <c r="D70" s="53" t="n">
        <f aca="false">C70*TaxRate</f>
        <v>17611.9853006131</v>
      </c>
      <c r="E70" s="53" t="n">
        <f aca="false">H34*(1-TaxRate)+D70</f>
        <v>1619511.15906185</v>
      </c>
    </row>
    <row r="71" customFormat="false" ht="15" hidden="false" customHeight="false" outlineLevel="0" collapsed="false">
      <c r="A71" s="46" t="n">
        <v>10</v>
      </c>
      <c r="B71" s="53" t="n">
        <f aca="false">B70-C70</f>
        <v>104958.1960704</v>
      </c>
      <c r="C71" s="53" t="n">
        <f aca="false">B71*ADRate</f>
        <v>41983.27842816</v>
      </c>
      <c r="D71" s="53" t="n">
        <f aca="false">C71*TaxRate</f>
        <v>10567.1911803679</v>
      </c>
      <c r="E71" s="53" t="n">
        <f aca="false">H35*(1-TaxRate)+D71</f>
        <v>1653733.86369831</v>
      </c>
    </row>
    <row r="72" customFormat="false" ht="15" hidden="false" customHeight="false" outlineLevel="0" collapsed="false">
      <c r="A72" s="46" t="n">
        <v>11</v>
      </c>
      <c r="B72" s="53" t="n">
        <f aca="false">B71-C71</f>
        <v>62974.91764224</v>
      </c>
      <c r="C72" s="53" t="n">
        <f aca="false">B72*ADRate</f>
        <v>25189.967056896</v>
      </c>
      <c r="D72" s="53" t="n">
        <f aca="false">C72*TaxRate</f>
        <v>6340.31470822072</v>
      </c>
      <c r="E72" s="53" t="n">
        <f aca="false">H36*(1-TaxRate)+D72</f>
        <v>1691757.47780325</v>
      </c>
    </row>
    <row r="73" customFormat="false" ht="15" hidden="false" customHeight="false" outlineLevel="0" collapsed="false">
      <c r="A73" s="46" t="n">
        <v>12</v>
      </c>
      <c r="B73" s="53" t="n">
        <f aca="false">B72-C72</f>
        <v>37784.950585344</v>
      </c>
      <c r="C73" s="53" t="n">
        <f aca="false">B73*ADRate</f>
        <v>15113.9802341376</v>
      </c>
      <c r="D73" s="53" t="n">
        <f aca="false">C73*TaxRate</f>
        <v>3804.18882493243</v>
      </c>
      <c r="E73" s="53" t="n">
        <f aca="false">H37*(1-TaxRate)+D73</f>
        <v>1253566.2491826</v>
      </c>
    </row>
    <row r="74" customFormat="false" ht="15" hidden="false" customHeight="false" outlineLevel="0" collapsed="false">
      <c r="A74" s="46" t="n">
        <v>13</v>
      </c>
      <c r="B74" s="53" t="n">
        <f aca="false">B73-C73</f>
        <v>22670.9703512064</v>
      </c>
      <c r="C74" s="53" t="n">
        <f aca="false">B74*ADRate</f>
        <v>9068.38814048256</v>
      </c>
      <c r="D74" s="53" t="n">
        <f aca="false">C74*TaxRate</f>
        <v>2282.51329495946</v>
      </c>
      <c r="E74" s="53" t="n">
        <f aca="false">H38*(1-TaxRate)+D74</f>
        <v>1775243.85020806</v>
      </c>
    </row>
    <row r="75" customFormat="false" ht="15" hidden="false" customHeight="false" outlineLevel="0" collapsed="false">
      <c r="A75" s="46" t="n">
        <v>14</v>
      </c>
      <c r="B75" s="53" t="n">
        <f aca="false">B74-C74</f>
        <v>13602.5822107238</v>
      </c>
      <c r="C75" s="53" t="n">
        <f aca="false">B75*ADRate</f>
        <v>5441.03288428954</v>
      </c>
      <c r="D75" s="53" t="n">
        <f aca="false">C75*TaxRate</f>
        <v>1369.50797697568</v>
      </c>
      <c r="E75" s="53" t="n">
        <f aca="false">H39*(1-TaxRate)+D75</f>
        <v>1819673.04437305</v>
      </c>
    </row>
    <row r="76" customFormat="false" ht="15" hidden="false" customHeight="false" outlineLevel="0" collapsed="false">
      <c r="A76" s="46" t="n">
        <v>15</v>
      </c>
      <c r="B76" s="53" t="n">
        <f aca="false">B75-C75</f>
        <v>8161.5493264343</v>
      </c>
      <c r="C76" s="53" t="n">
        <f aca="false">B76*ADRate</f>
        <v>3264.61973057372</v>
      </c>
      <c r="D76" s="53" t="n">
        <f aca="false">C76*TaxRate</f>
        <v>821.704786185405</v>
      </c>
      <c r="E76" s="53" t="n">
        <f aca="false">H40*(1-TaxRate)+D76</f>
        <v>1865547.49185693</v>
      </c>
    </row>
    <row r="77" customFormat="false" ht="15" hidden="false" customHeight="false" outlineLevel="0" collapsed="false">
      <c r="A77" s="46" t="n">
        <v>16</v>
      </c>
      <c r="B77" s="53" t="n">
        <f aca="false">B76-C76</f>
        <v>4896.92959586058</v>
      </c>
      <c r="C77" s="53" t="n">
        <f aca="false">B77*ADRate</f>
        <v>1958.77183834423</v>
      </c>
      <c r="D77" s="53" t="n">
        <f aca="false">C77*TaxRate</f>
        <v>493.022871711243</v>
      </c>
      <c r="E77" s="53" t="n">
        <f aca="false">H41*(1-TaxRate)+D77</f>
        <v>1912746.83862819</v>
      </c>
    </row>
    <row r="78" customFormat="false" ht="15" hidden="false" customHeight="false" outlineLevel="0" collapsed="false">
      <c r="A78" s="46" t="n">
        <v>17</v>
      </c>
      <c r="B78" s="53" t="n">
        <f aca="false">B77-C77</f>
        <v>2938.15775751635</v>
      </c>
      <c r="C78" s="53" t="n">
        <f aca="false">B78*ADRate</f>
        <v>1175.26310300654</v>
      </c>
      <c r="D78" s="53" t="n">
        <f aca="false">C78*TaxRate</f>
        <v>295.813723026746</v>
      </c>
      <c r="E78" s="53" t="n">
        <f aca="false">H42*(1-TaxRate)+D78</f>
        <v>1961209.77580854</v>
      </c>
    </row>
    <row r="79" customFormat="false" ht="15" hidden="false" customHeight="false" outlineLevel="0" collapsed="false">
      <c r="A79" s="46" t="n">
        <v>18</v>
      </c>
      <c r="B79" s="53" t="n">
        <f aca="false">B78-C78</f>
        <v>1762.89465450981</v>
      </c>
      <c r="C79" s="53" t="n">
        <f aca="false">B79*ADRate</f>
        <v>705.157861803924</v>
      </c>
      <c r="D79" s="53" t="n">
        <f aca="false">C79*TaxRate</f>
        <v>177.488233816048</v>
      </c>
      <c r="E79" s="53" t="n">
        <f aca="false">H43*(1-TaxRate)+D79</f>
        <v>2010910.68133391</v>
      </c>
    </row>
    <row r="80" customFormat="false" ht="15" hidden="false" customHeight="false" outlineLevel="0" collapsed="false">
      <c r="A80" s="46" t="n">
        <v>19</v>
      </c>
      <c r="B80" s="53" t="n">
        <f aca="false">B79-C79</f>
        <v>1057.73679270589</v>
      </c>
      <c r="C80" s="53" t="n">
        <f aca="false">B80*ADRate</f>
        <v>423.094717082354</v>
      </c>
      <c r="D80" s="53" t="n">
        <f aca="false">C80*TaxRate</f>
        <v>106.492940289629</v>
      </c>
      <c r="E80" s="53" t="n">
        <f aca="false">H44*(1-TaxRate)+D80</f>
        <v>2061845.61113774</v>
      </c>
    </row>
    <row r="81" customFormat="false" ht="15" hidden="false" customHeight="false" outlineLevel="0" collapsed="false">
      <c r="A81" s="46" t="n">
        <v>20</v>
      </c>
      <c r="B81" s="53" t="n">
        <f aca="false">B80-C80</f>
        <v>634.642075623531</v>
      </c>
      <c r="C81" s="53" t="n">
        <f aca="false">B81*ADRate</f>
        <v>253.856830249412</v>
      </c>
      <c r="D81" s="53" t="n">
        <f aca="false">C81*TaxRate</f>
        <v>63.8957641737771</v>
      </c>
      <c r="E81" s="53" t="n">
        <f aca="false">H45*(1-TaxRate)+D81</f>
        <v>2114023.9001948</v>
      </c>
    </row>
    <row r="82" customFormat="false" ht="15" hidden="false" customHeight="false" outlineLevel="0" collapsed="false">
      <c r="A82" s="63" t="s">
        <v>414</v>
      </c>
      <c r="B82" s="63"/>
      <c r="C82" s="63"/>
      <c r="D82" s="63"/>
      <c r="E82" s="37" t="n">
        <f aca="false">IFERROR(IRR(E61:E81),"n/a")</f>
        <v>0.16480344842496</v>
      </c>
    </row>
    <row r="83" customFormat="false" ht="15" hidden="false" customHeight="false" outlineLevel="0" collapsed="false">
      <c r="A83" s="63" t="s">
        <v>415</v>
      </c>
      <c r="B83" s="63"/>
      <c r="C83" s="63"/>
      <c r="D83" s="63"/>
      <c r="E83" s="64" t="n">
        <f aca="false">((RO_PV+RO_BOS+RO_Log+RO_Integ)*RO_Area+SUMPRODUCT(-(F26:F45+G26:G45),J26:J45))/SUMPRODUCT(C26:C45,J26:J45)</f>
        <v>6.93526836313049</v>
      </c>
    </row>
  </sheetData>
  <mergeCells count="28"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82:D82"/>
    <mergeCell ref="A83:D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33"/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8"/>
    <col collapsed="false" customWidth="true" hidden="false" outlineLevel="0" max="6" min="6" style="0" width="4"/>
    <col collapsed="false" customWidth="true" hidden="false" outlineLevel="0" max="7" min="7" style="0" width="8"/>
    <col collapsed="false" customWidth="true" hidden="false" outlineLevel="0" max="9" min="8" style="0" width="12"/>
  </cols>
  <sheetData>
    <row r="1" customFormat="false" ht="25.5" hidden="false" customHeight="true" outlineLevel="0" collapsed="false">
      <c r="A1" s="16" t="s">
        <v>416</v>
      </c>
    </row>
    <row r="2" customFormat="false" ht="15" hidden="false" customHeight="false" outlineLevel="0" collapsed="false">
      <c r="A2" s="17" t="s">
        <v>417</v>
      </c>
    </row>
    <row r="4" customFormat="false" ht="23.85" hidden="false" customHeight="false" outlineLevel="0" collapsed="false">
      <c r="A4" s="18" t="s">
        <v>418</v>
      </c>
      <c r="B4" s="19" t="s">
        <v>419</v>
      </c>
      <c r="C4" s="19" t="s">
        <v>420</v>
      </c>
      <c r="D4" s="19" t="s">
        <v>421</v>
      </c>
      <c r="E4" s="19" t="s">
        <v>422</v>
      </c>
      <c r="G4" s="3" t="s">
        <v>371</v>
      </c>
      <c r="H4" s="3" t="s">
        <v>423</v>
      </c>
      <c r="I4" s="3" t="s">
        <v>424</v>
      </c>
    </row>
    <row r="5" customFormat="false" ht="15" hidden="false" customHeight="false" outlineLevel="0" collapsed="false">
      <c r="G5" s="23" t="n">
        <v>1</v>
      </c>
      <c r="H5" s="65" t="n">
        <f aca="false">(1-Deg1)*(1-Degr)^(G5-1)*(1+TariffEsc)^(G5-1)/(1+DiscRate)^G5</f>
        <v>0.9</v>
      </c>
      <c r="I5" s="65" t="n">
        <f aca="false">(1-Deg1)*(1-RoofDegr)^(G5-1)*(1+TariffEsc)^(G5-1)/(1+DiscRate)^G5</f>
        <v>0.9</v>
      </c>
    </row>
    <row r="6" customFormat="false" ht="15" hidden="false" customHeight="false" outlineLevel="0" collapsed="false">
      <c r="A6" s="5" t="s">
        <v>425</v>
      </c>
      <c r="B6" s="23" t="n">
        <f aca="false">CampusArea</f>
        <v>1000</v>
      </c>
      <c r="C6" s="23" t="n">
        <f aca="false">CampusArea</f>
        <v>1000</v>
      </c>
      <c r="D6" s="23" t="n">
        <f aca="false">CampusArea</f>
        <v>1000</v>
      </c>
      <c r="E6" s="23" t="n">
        <f aca="false">CampusArea</f>
        <v>1000</v>
      </c>
      <c r="G6" s="23" t="n">
        <v>2</v>
      </c>
      <c r="H6" s="65" t="n">
        <f aca="false">(1-Deg1)*(1-Degr)^(G6-1)*(1+TariffEsc)^(G6-1)/(1+DiscRate)^G6</f>
        <v>0.837670909090909</v>
      </c>
      <c r="I6" s="65" t="n">
        <f aca="false">(1-Deg1)*(1-RoofDegr)^(G6-1)*(1+TariffEsc)^(G6-1)/(1+DiscRate)^G6</f>
        <v>0.839356363636364</v>
      </c>
    </row>
    <row r="7" customFormat="false" ht="15" hidden="false" customHeight="false" outlineLevel="0" collapsed="false">
      <c r="A7" s="5" t="s">
        <v>426</v>
      </c>
      <c r="B7" s="29" t="n">
        <f aca="false">RO_KWp</f>
        <v>160</v>
      </c>
      <c r="C7" s="29" t="n">
        <f aca="false">CampusArea*RoofDens/1000</f>
        <v>190</v>
      </c>
      <c r="D7" s="29" t="n">
        <f aca="false">CampusArea*RoofDens/1000</f>
        <v>190</v>
      </c>
      <c r="E7" s="29" t="n">
        <f aca="false">CampusArea*RoofDens/1000</f>
        <v>190</v>
      </c>
      <c r="G7" s="23" t="n">
        <v>3</v>
      </c>
      <c r="H7" s="65" t="n">
        <f aca="false">(1-Deg1)*(1-Degr)^(G7-1)*(1+TariffEsc)^(G7-1)/(1+DiscRate)^G7</f>
        <v>0.779658391041322</v>
      </c>
      <c r="I7" s="65" t="n">
        <f aca="false">(1-Deg1)*(1-RoofDegr)^(G7-1)*(1+TariffEsc)^(G7-1)/(1+DiscRate)^G7</f>
        <v>0.782799005752066</v>
      </c>
    </row>
    <row r="8" customFormat="false" ht="15" hidden="false" customHeight="false" outlineLevel="0" collapsed="false">
      <c r="A8" s="5" t="s">
        <v>427</v>
      </c>
      <c r="B8" s="53" t="n">
        <f aca="false">RO_Capex</f>
        <v>11632900</v>
      </c>
      <c r="C8" s="53" t="n">
        <f aca="false">C7*1000*RoofWp</f>
        <v>7600000</v>
      </c>
      <c r="D8" s="53" t="n">
        <f aca="false">D7*1000*CarportWp</f>
        <v>11590000</v>
      </c>
      <c r="E8" s="53" t="n">
        <f aca="false">CampusArea*ConvWalk+C7*1000*RoofWp</f>
        <v>8800000</v>
      </c>
      <c r="G8" s="23" t="n">
        <v>4</v>
      </c>
      <c r="H8" s="65" t="n">
        <f aca="false">(1-Deg1)*(1-Degr)^(G8-1)*(1+TariffEsc)^(G8-1)/(1+DiscRate)^G8</f>
        <v>0.725663503559933</v>
      </c>
      <c r="I8" s="65" t="n">
        <f aca="false">(1-Deg1)*(1-RoofDegr)^(G8-1)*(1+TariffEsc)^(G8-1)/(1+DiscRate)^G8</f>
        <v>0.730052585473572</v>
      </c>
    </row>
    <row r="9" customFormat="false" ht="15" hidden="false" customHeight="false" outlineLevel="0" collapsed="false">
      <c r="A9" s="5" t="s">
        <v>428</v>
      </c>
      <c r="B9" s="53" t="n">
        <f aca="false">B8/B7</f>
        <v>72705.625</v>
      </c>
      <c r="C9" s="53" t="n">
        <f aca="false">C8/C7</f>
        <v>40000</v>
      </c>
      <c r="D9" s="53" t="n">
        <f aca="false">D8/D7</f>
        <v>61000</v>
      </c>
      <c r="E9" s="53" t="n">
        <f aca="false">E8/E7</f>
        <v>46315.7894736842</v>
      </c>
      <c r="G9" s="23" t="n">
        <v>5</v>
      </c>
      <c r="H9" s="65" t="n">
        <f aca="false">(1-Deg1)*(1-Degr)^(G9-1)*(1+TariffEsc)^(G9-1)/(1+DiscRate)^G9</f>
        <v>0.675408007467937</v>
      </c>
      <c r="I9" s="65" t="n">
        <f aca="false">(1-Deg1)*(1-RoofDegr)^(G9-1)*(1+TariffEsc)^(G9-1)/(1+DiscRate)^G9</f>
        <v>0.680860314896026</v>
      </c>
    </row>
    <row r="10" customFormat="false" ht="15" hidden="false" customHeight="false" outlineLevel="0" collapsed="false">
      <c r="A10" s="5" t="s">
        <v>368</v>
      </c>
      <c r="B10" s="23" t="n">
        <f aca="false">RO_Gen1</f>
        <v>215240.537375494</v>
      </c>
      <c r="C10" s="23" t="n">
        <f aca="false">C7*SunYear*RoofPR</f>
        <v>286796.64</v>
      </c>
      <c r="D10" s="23" t="n">
        <f aca="false">D7*SunYear*RoofPR</f>
        <v>286796.64</v>
      </c>
      <c r="E10" s="23" t="n">
        <f aca="false">E7*SunYear*RoofPR</f>
        <v>286796.64</v>
      </c>
      <c r="G10" s="23" t="n">
        <v>6</v>
      </c>
      <c r="H10" s="65" t="n">
        <f aca="false">(1-Deg1)*(1-Degr)^(G10-1)*(1+TariffEsc)^(G10-1)/(1+DiscRate)^G10</f>
        <v>0.628632932914385</v>
      </c>
      <c r="I10" s="65" t="n">
        <f aca="false">(1-Deg1)*(1-RoofDegr)^(G10-1)*(1+TariffEsc)^(G10-1)/(1+DiscRate)^G10</f>
        <v>0.634982708950486</v>
      </c>
    </row>
    <row r="11" customFormat="false" ht="15" hidden="false" customHeight="false" outlineLevel="0" collapsed="false">
      <c r="A11" s="5" t="s">
        <v>384</v>
      </c>
      <c r="B11" s="53" t="n">
        <f aca="false">B10*Tariff</f>
        <v>1937164.83637944</v>
      </c>
      <c r="C11" s="53" t="n">
        <f aca="false">C10*Tariff</f>
        <v>2581169.76</v>
      </c>
      <c r="D11" s="53" t="n">
        <f aca="false">D10*Tariff</f>
        <v>2581169.76</v>
      </c>
      <c r="E11" s="53" t="n">
        <f aca="false">E10*Tariff</f>
        <v>2581169.76</v>
      </c>
      <c r="G11" s="23" t="n">
        <v>7</v>
      </c>
      <c r="H11" s="65" t="n">
        <f aca="false">(1-Deg1)*(1-Degr)^(G11-1)*(1+TariffEsc)^(G11-1)/(1+DiscRate)^G11</f>
        <v>0.585097244887641</v>
      </c>
      <c r="I11" s="65" t="n">
        <f aca="false">(1-Deg1)*(1-RoofDegr)^(G11-1)*(1+TariffEsc)^(G11-1)/(1+DiscRate)^G11</f>
        <v>0.592196419507386</v>
      </c>
    </row>
    <row r="12" customFormat="false" ht="15" hidden="false" customHeight="false" outlineLevel="0" collapsed="false">
      <c r="A12" s="5" t="s">
        <v>385</v>
      </c>
      <c r="B12" s="53" t="n">
        <f aca="false">OMPct*B8</f>
        <v>174493.5</v>
      </c>
      <c r="C12" s="53" t="n">
        <f aca="false">RoofOM*C8</f>
        <v>76000</v>
      </c>
      <c r="D12" s="53" t="n">
        <f aca="false">CarportOM*D8</f>
        <v>139080</v>
      </c>
      <c r="E12" s="53" t="n">
        <f aca="false">RoofOM*C8+ConvWalkOM*CampusArea*ConvWalk</f>
        <v>100000</v>
      </c>
      <c r="G12" s="23" t="n">
        <v>8</v>
      </c>
      <c r="H12" s="65" t="n">
        <f aca="false">(1-Deg1)*(1-Degr)^(G12-1)*(1+TariffEsc)^(G12-1)/(1+DiscRate)^G12</f>
        <v>0.544576601146241</v>
      </c>
      <c r="I12" s="65" t="n">
        <f aca="false">(1-Deg1)*(1-RoofDegr)^(G12-1)*(1+TariffEsc)^(G12-1)/(1+DiscRate)^G12</f>
        <v>0.552293148040216</v>
      </c>
    </row>
    <row r="13" customFormat="false" ht="15" hidden="false" customHeight="false" outlineLevel="0" collapsed="false">
      <c r="A13" s="3" t="s">
        <v>429</v>
      </c>
      <c r="B13" s="61" t="n">
        <f aca="false">B8/(B11-B12)</f>
        <v>6.59958539060049</v>
      </c>
      <c r="C13" s="61" t="n">
        <f aca="false">C8/(C11-C12)</f>
        <v>3.03372654474322</v>
      </c>
      <c r="D13" s="61" t="n">
        <f aca="false">D8/(D11-D12)</f>
        <v>4.74593530092031</v>
      </c>
      <c r="E13" s="61" t="n">
        <f aca="false">E8/(E11-E12)</f>
        <v>3.54671419177703</v>
      </c>
      <c r="G13" s="23" t="n">
        <v>9</v>
      </c>
      <c r="H13" s="65" t="n">
        <f aca="false">(1-Deg1)*(1-Degr)^(G13-1)*(1+TariffEsc)^(G13-1)/(1+DiscRate)^G13</f>
        <v>0.506862196168676</v>
      </c>
      <c r="I13" s="65" t="n">
        <f aca="false">(1-Deg1)*(1-RoofDegr)^(G13-1)*(1+TariffEsc)^(G13-1)/(1+DiscRate)^G13</f>
        <v>0.515078631555906</v>
      </c>
    </row>
    <row r="14" customFormat="false" ht="15" hidden="false" customHeight="false" outlineLevel="0" collapsed="false">
      <c r="A14" s="3" t="s">
        <v>387</v>
      </c>
      <c r="B14" s="57" t="n">
        <f aca="false">-B8+B11*PVF_W-B12*ANN20</f>
        <v>6063932.38575926</v>
      </c>
      <c r="C14" s="57" t="n">
        <f aca="false">-C8+C11*PVF_R-C12*ANN20</f>
        <v>17686252.3634033</v>
      </c>
      <c r="D14" s="57" t="n">
        <f aca="false">-D8+D11*PVF_R-D12*ANN20</f>
        <v>13159216.7639609</v>
      </c>
      <c r="E14" s="57" t="n">
        <f aca="false">-E8+E11*PVF_R-E12*ANN20</f>
        <v>16281926.8341291</v>
      </c>
      <c r="G14" s="23" t="n">
        <v>10</v>
      </c>
      <c r="H14" s="65" t="n">
        <f aca="false">(1-Deg1)*(1-Degr)^(G14-1)*(1+TariffEsc)^(G14-1)/(1+DiscRate)^G14</f>
        <v>0.471759685164922</v>
      </c>
      <c r="I14" s="65" t="n">
        <f aca="false">(1-Deg1)*(1-RoofDegr)^(G14-1)*(1+TariffEsc)^(G14-1)/(1+DiscRate)^G14</f>
        <v>0.480371696855066</v>
      </c>
    </row>
    <row r="15" customFormat="false" ht="23.85" hidden="false" customHeight="false" outlineLevel="0" collapsed="false">
      <c r="A15" s="5" t="s">
        <v>430</v>
      </c>
      <c r="B15" s="66" t="s">
        <v>431</v>
      </c>
      <c r="C15" s="66" t="s">
        <v>432</v>
      </c>
      <c r="D15" s="66" t="s">
        <v>433</v>
      </c>
      <c r="E15" s="66" t="s">
        <v>431</v>
      </c>
      <c r="G15" s="23" t="n">
        <v>11</v>
      </c>
      <c r="H15" s="65" t="n">
        <f aca="false">(1-Deg1)*(1-Degr)^(G15-1)*(1+TariffEsc)^(G15-1)/(1+DiscRate)^G15</f>
        <v>0.439088182605046</v>
      </c>
      <c r="I15" s="65" t="n">
        <f aca="false">(1-Deg1)*(1-RoofDegr)^(G15-1)*(1+TariffEsc)^(G15-1)/(1+DiscRate)^G15</f>
        <v>0.448003378517886</v>
      </c>
    </row>
    <row r="16" customFormat="false" ht="23.85" hidden="false" customHeight="false" outlineLevel="0" collapsed="false">
      <c r="A16" s="5" t="s">
        <v>434</v>
      </c>
      <c r="B16" s="66" t="s">
        <v>432</v>
      </c>
      <c r="C16" s="66" t="s">
        <v>435</v>
      </c>
      <c r="D16" s="66" t="s">
        <v>436</v>
      </c>
      <c r="E16" s="66" t="s">
        <v>435</v>
      </c>
      <c r="G16" s="23" t="n">
        <v>12</v>
      </c>
      <c r="H16" s="65" t="n">
        <f aca="false">(1-Deg1)*(1-Degr)^(G16-1)*(1+TariffEsc)^(G16-1)/(1+DiscRate)^G16</f>
        <v>0.408679330104271</v>
      </c>
      <c r="I16" s="65" t="n">
        <f aca="false">(1-Deg1)*(1-RoofDegr)^(G16-1)*(1+TariffEsc)^(G16-1)/(1+DiscRate)^G16</f>
        <v>0.417816096321754</v>
      </c>
    </row>
    <row r="17" customFormat="false" ht="15" hidden="false" customHeight="false" outlineLevel="0" collapsed="false">
      <c r="A17" s="5" t="s">
        <v>437</v>
      </c>
      <c r="B17" s="29" t="n">
        <f aca="false">CampusArea*PlasticLW/1000</f>
        <v>4</v>
      </c>
      <c r="C17" s="29" t="n">
        <v>0</v>
      </c>
      <c r="D17" s="29" t="n">
        <v>0</v>
      </c>
      <c r="E17" s="29" t="n">
        <v>0</v>
      </c>
      <c r="G17" s="23" t="n">
        <v>13</v>
      </c>
      <c r="H17" s="65" t="n">
        <f aca="false">(1-Deg1)*(1-Degr)^(G17-1)*(1+TariffEsc)^(G17-1)/(1+DiscRate)^G17</f>
        <v>0.380376428861232</v>
      </c>
      <c r="I17" s="65" t="n">
        <f aca="false">(1-Deg1)*(1-RoofDegr)^(G17-1)*(1+TariffEsc)^(G17-1)/(1+DiscRate)^G17</f>
        <v>0.389662888085964</v>
      </c>
    </row>
    <row r="18" customFormat="false" ht="15" hidden="false" customHeight="false" outlineLevel="0" collapsed="false">
      <c r="G18" s="23" t="n">
        <v>14</v>
      </c>
      <c r="H18" s="65" t="n">
        <f aca="false">(1-Deg1)*(1-Degr)^(G18-1)*(1+TariffEsc)^(G18-1)/(1+DiscRate)^G18</f>
        <v>0.354033632178824</v>
      </c>
      <c r="I18" s="65" t="n">
        <f aca="false">(1-Deg1)*(1-RoofDegr)^(G18-1)*(1+TariffEsc)^(G18-1)/(1+DiscRate)^G18</f>
        <v>0.363406694208754</v>
      </c>
    </row>
    <row r="19" customFormat="false" ht="15" hidden="false" customHeight="true" outlineLevel="0" collapsed="false">
      <c r="A19" s="45" t="s">
        <v>438</v>
      </c>
      <c r="B19" s="45"/>
      <c r="C19" s="45"/>
      <c r="D19" s="45"/>
      <c r="E19" s="45"/>
      <c r="G19" s="23" t="n">
        <v>15</v>
      </c>
      <c r="H19" s="65" t="n">
        <f aca="false">(1-Deg1)*(1-Degr)^(G19-1)*(1+TariffEsc)^(G19-1)/(1+DiscRate)^G19</f>
        <v>0.329515193906657</v>
      </c>
      <c r="I19" s="65" t="n">
        <f aca="false">(1-Deg1)*(1-RoofDegr)^(G19-1)*(1+TariffEsc)^(G19-1)/(1+DiscRate)^G19</f>
        <v>0.338919690413524</v>
      </c>
    </row>
    <row r="20" customFormat="false" ht="15" hidden="false" customHeight="false" outlineLevel="0" collapsed="false">
      <c r="A20" s="45"/>
      <c r="B20" s="45"/>
      <c r="C20" s="45"/>
      <c r="D20" s="45"/>
      <c r="E20" s="45"/>
      <c r="G20" s="23" t="n">
        <v>16</v>
      </c>
      <c r="H20" s="65" t="n">
        <f aca="false">(1-Deg1)*(1-Degr)^(G20-1)*(1+TariffEsc)^(G20-1)/(1+DiscRate)^G20</f>
        <v>0.306694768932286</v>
      </c>
      <c r="I20" s="65" t="n">
        <f aca="false">(1-Deg1)*(1-RoofDegr)^(G20-1)*(1+TariffEsc)^(G20-1)/(1+DiscRate)^G20</f>
        <v>0.316082665455842</v>
      </c>
    </row>
    <row r="21" customFormat="false" ht="15" hidden="false" customHeight="false" outlineLevel="0" collapsed="false">
      <c r="A21" s="45"/>
      <c r="B21" s="45"/>
      <c r="C21" s="45"/>
      <c r="D21" s="45"/>
      <c r="E21" s="45"/>
      <c r="G21" s="23" t="n">
        <v>17</v>
      </c>
      <c r="H21" s="65" t="n">
        <f aca="false">(1-Deg1)*(1-Degr)^(G21-1)*(1+TariffEsc)^(G21-1)/(1+DiscRate)^G21</f>
        <v>0.285454762116593</v>
      </c>
      <c r="I21" s="65" t="n">
        <f aca="false">(1-Deg1)*(1-RoofDegr)^(G21-1)*(1+TariffEsc)^(G21-1)/(1+DiscRate)^G21</f>
        <v>0.294784440761672</v>
      </c>
    </row>
    <row r="22" customFormat="false" ht="15" hidden="false" customHeight="false" outlineLevel="0" collapsed="false">
      <c r="G22" s="23" t="n">
        <v>18</v>
      </c>
      <c r="H22" s="65" t="n">
        <f aca="false">(1-Deg1)*(1-Degr)^(G22-1)*(1+TariffEsc)^(G22-1)/(1+DiscRate)^G22</f>
        <v>0.265685722318373</v>
      </c>
      <c r="I22" s="65" t="n">
        <f aca="false">(1-Deg1)*(1-RoofDegr)^(G22-1)*(1+TariffEsc)^(G22-1)/(1+DiscRate)^G22</f>
        <v>0.27492132917144</v>
      </c>
    </row>
    <row r="23" customFormat="false" ht="15" hidden="false" customHeight="false" outlineLevel="0" collapsed="false">
      <c r="G23" s="23" t="n">
        <v>19</v>
      </c>
      <c r="H23" s="65" t="n">
        <f aca="false">(1-Deg1)*(1-Degr)^(G23-1)*(1+TariffEsc)^(G23-1)/(1+DiscRate)^G23</f>
        <v>0.247285778385452</v>
      </c>
      <c r="I23" s="65" t="n">
        <f aca="false">(1-Deg1)*(1-RoofDegr)^(G23-1)*(1+TariffEsc)^(G23-1)/(1+DiscRate)^G23</f>
        <v>0.256396630154906</v>
      </c>
    </row>
    <row r="24" customFormat="false" ht="15" hidden="false" customHeight="false" outlineLevel="0" collapsed="false">
      <c r="G24" s="23" t="n">
        <v>20</v>
      </c>
      <c r="H24" s="65" t="n">
        <f aca="false">(1-Deg1)*(1-Degr)^(G24-1)*(1+TariffEsc)^(G24-1)/(1+DiscRate)^G24</f>
        <v>0.230160114205994</v>
      </c>
      <c r="I24" s="65" t="n">
        <f aca="false">(1-Deg1)*(1-RoofDegr)^(G24-1)*(1+TariffEsc)^(G24-1)/(1+DiscRate)^G24</f>
        <v>0.239120159039377</v>
      </c>
    </row>
    <row r="25" customFormat="false" ht="15" hidden="false" customHeight="false" outlineLevel="0" collapsed="false">
      <c r="G25" s="3" t="s">
        <v>439</v>
      </c>
      <c r="H25" s="59" t="n">
        <f aca="false">SUM(H5:H24)</f>
        <v>9.90230338505669</v>
      </c>
      <c r="I25" s="59" t="n">
        <f aca="false">SUM(I5:I24)</f>
        <v>10.0471048467982</v>
      </c>
    </row>
    <row r="26" customFormat="false" ht="15" hidden="false" customHeight="false" outlineLevel="0" collapsed="false">
      <c r="G26" s="3" t="s">
        <v>440</v>
      </c>
      <c r="H26" s="59" t="n">
        <f aca="false">(1-(1+DiscRate)^-20)/DiscRate</f>
        <v>8.51356371975857</v>
      </c>
    </row>
  </sheetData>
  <mergeCells count="1">
    <mergeCell ref="A19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33"/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9" min="2" style="0" width="11"/>
  </cols>
  <sheetData>
    <row r="1" customFormat="false" ht="25.5" hidden="false" customHeight="true" outlineLevel="0" collapsed="false">
      <c r="A1" s="16" t="s">
        <v>441</v>
      </c>
    </row>
    <row r="2" customFormat="false" ht="15" hidden="false" customHeight="false" outlineLevel="0" collapsed="false">
      <c r="A2" s="17" t="s">
        <v>442</v>
      </c>
    </row>
    <row r="4" customFormat="false" ht="18" hidden="false" customHeight="true" outlineLevel="0" collapsed="false">
      <c r="A4" s="7" t="s">
        <v>443</v>
      </c>
      <c r="B4" s="8"/>
      <c r="C4" s="8"/>
      <c r="D4" s="8"/>
      <c r="E4" s="8"/>
      <c r="F4" s="8"/>
    </row>
    <row r="5" customFormat="false" ht="15" hidden="false" customHeight="false" outlineLevel="0" collapsed="false">
      <c r="A5" s="3" t="s">
        <v>444</v>
      </c>
      <c r="B5" s="67" t="n">
        <v>0.6</v>
      </c>
      <c r="C5" s="67" t="n">
        <v>0.65</v>
      </c>
      <c r="D5" s="67" t="n">
        <v>0.7</v>
      </c>
      <c r="E5" s="67" t="n">
        <v>0.75</v>
      </c>
      <c r="F5" s="67" t="n">
        <v>0.8</v>
      </c>
    </row>
    <row r="6" customFormat="false" ht="15" hidden="false" customHeight="false" outlineLevel="0" collapsed="false">
      <c r="A6" s="68" t="n">
        <v>8</v>
      </c>
      <c r="B6" s="69" t="n">
        <f aca="false">IFERROR(RO_NetM2/(PowerDens/1000*SunYear*B$5*(1-ShadeLoss)*$A6-OMPct*RO_CostM2),"n/a")</f>
        <v>8.43111393869554</v>
      </c>
      <c r="C6" s="69" t="n">
        <f aca="false">IFERROR(RO_NetM2/(PowerDens/1000*SunYear*C$5*(1-ShadeLoss)*$A6-OMPct*RO_CostM2),"n/a")</f>
        <v>7.69905388768017</v>
      </c>
      <c r="D6" s="69" t="n">
        <f aca="false">IFERROR(RO_NetM2/(PowerDens/1000*SunYear*D$5*(1-ShadeLoss)*$A6-OMPct*RO_CostM2),"n/a")</f>
        <v>7.08396464151787</v>
      </c>
      <c r="E6" s="69" t="n">
        <f aca="false">IFERROR(RO_NetM2/(PowerDens/1000*SunYear*E$5*(1-ShadeLoss)*$A6-OMPct*RO_CostM2),"n/a")</f>
        <v>6.55988532257333</v>
      </c>
      <c r="F6" s="69" t="n">
        <f aca="false">IFERROR(RO_NetM2/(PowerDens/1000*SunYear*F$5*(1-ShadeLoss)*$A6-OMPct*RO_CostM2),"n/a")</f>
        <v>6.10800830266196</v>
      </c>
    </row>
    <row r="7" customFormat="false" ht="15" hidden="false" customHeight="false" outlineLevel="0" collapsed="false">
      <c r="A7" s="68" t="n">
        <v>9</v>
      </c>
      <c r="B7" s="69" t="n">
        <f aca="false">IFERROR(RO_NetM2/(PowerDens/1000*SunYear*B$5*(1-ShadeLoss)*$A7-OMPct*RO_CostM2),"n/a")</f>
        <v>7.37871300177904</v>
      </c>
      <c r="C7" s="69" t="n">
        <f aca="false">IFERROR(RO_NetM2/(PowerDens/1000*SunYear*C$5*(1-ShadeLoss)*$A7-OMPct*RO_CostM2),"n/a")</f>
        <v>6.74706859274201</v>
      </c>
      <c r="D7" s="69" t="n">
        <f aca="false">IFERROR(RO_NetM2/(PowerDens/1000*SunYear*D$5*(1-ShadeLoss)*$A7-OMPct*RO_CostM2),"n/a")</f>
        <v>6.2150388797806</v>
      </c>
      <c r="E7" s="69" t="n">
        <f aca="false">IFERROR(RO_NetM2/(PowerDens/1000*SunYear*E$5*(1-ShadeLoss)*$A7-OMPct*RO_CostM2),"n/a")</f>
        <v>5.76078133133358</v>
      </c>
      <c r="F7" s="69" t="n">
        <f aca="false">IFERROR(RO_NetM2/(PowerDens/1000*SunYear*F$5*(1-ShadeLoss)*$A7-OMPct*RO_CostM2),"n/a")</f>
        <v>5.36840434931264</v>
      </c>
    </row>
    <row r="8" customFormat="false" ht="15" hidden="false" customHeight="false" outlineLevel="0" collapsed="false">
      <c r="A8" s="68" t="n">
        <v>10</v>
      </c>
      <c r="B8" s="69" t="n">
        <f aca="false">IFERROR(RO_NetM2/(PowerDens/1000*SunYear*B$5*(1-ShadeLoss)*$A8-OMPct*RO_CostM2),"n/a")</f>
        <v>6.55988532257333</v>
      </c>
      <c r="C8" s="69" t="n">
        <f aca="false">IFERROR(RO_NetM2/(PowerDens/1000*SunYear*C$5*(1-ShadeLoss)*$A8-OMPct*RO_CostM2),"n/a")</f>
        <v>6.00460171117537</v>
      </c>
      <c r="D8" s="69" t="n">
        <f aca="false">IFERROR(RO_NetM2/(PowerDens/1000*SunYear*D$5*(1-ShadeLoss)*$A8-OMPct*RO_CostM2),"n/a")</f>
        <v>5.53598923631642</v>
      </c>
      <c r="E8" s="69" t="n">
        <f aca="false">IFERROR(RO_NetM2/(PowerDens/1000*SunYear*E$5*(1-ShadeLoss)*$A8-OMPct*RO_CostM2),"n/a")</f>
        <v>5.1352248645118</v>
      </c>
      <c r="F8" s="69" t="n">
        <f aca="false">IFERROR(RO_NetM2/(PowerDens/1000*SunYear*F$5*(1-ShadeLoss)*$A8-OMPct*RO_CostM2),"n/a")</f>
        <v>4.78856820621857</v>
      </c>
    </row>
    <row r="9" customFormat="false" ht="15" hidden="false" customHeight="false" outlineLevel="0" collapsed="false">
      <c r="A9" s="68" t="n">
        <v>11</v>
      </c>
      <c r="B9" s="69" t="n">
        <f aca="false">IFERROR(RO_NetM2/(PowerDens/1000*SunYear*B$5*(1-ShadeLoss)*$A9-OMPct*RO_CostM2),"n/a")</f>
        <v>5.9046381108092</v>
      </c>
      <c r="C9" s="69" t="n">
        <f aca="false">IFERROR(RO_NetM2/(PowerDens/1000*SunYear*C$5*(1-ShadeLoss)*$A9-OMPct*RO_CostM2),"n/a")</f>
        <v>5.40934210891578</v>
      </c>
      <c r="D9" s="69" t="n">
        <f aca="false">IFERROR(RO_NetM2/(PowerDens/1000*SunYear*D$5*(1-ShadeLoss)*$A9-OMPct*RO_CostM2),"n/a")</f>
        <v>4.99070881172261</v>
      </c>
      <c r="E9" s="69" t="n">
        <f aca="false">IFERROR(RO_NetM2/(PowerDens/1000*SunYear*E$5*(1-ShadeLoss)*$A9-OMPct*RO_CostM2),"n/a")</f>
        <v>4.63221778532047</v>
      </c>
      <c r="F9" s="69" t="n">
        <f aca="false">IFERROR(RO_NetM2/(PowerDens/1000*SunYear*F$5*(1-ShadeLoss)*$A9-OMPct*RO_CostM2),"n/a")</f>
        <v>4.32177724119603</v>
      </c>
    </row>
    <row r="10" customFormat="false" ht="15" hidden="false" customHeight="false" outlineLevel="0" collapsed="false">
      <c r="A10" s="68" t="n">
        <v>12</v>
      </c>
      <c r="B10" s="69" t="n">
        <f aca="false">IFERROR(RO_NetM2/(PowerDens/1000*SunYear*B$5*(1-ShadeLoss)*$A10-OMPct*RO_CostM2),"n/a")</f>
        <v>5.36840434931264</v>
      </c>
      <c r="C10" s="69" t="n">
        <f aca="false">IFERROR(RO_NetM2/(PowerDens/1000*SunYear*C$5*(1-ShadeLoss)*$A10-OMPct*RO_CostM2),"n/a")</f>
        <v>4.92145870056527</v>
      </c>
      <c r="D10" s="69" t="n">
        <f aca="false">IFERROR(RO_NetM2/(PowerDens/1000*SunYear*D$5*(1-ShadeLoss)*$A10-OMPct*RO_CostM2),"n/a")</f>
        <v>4.54321413189076</v>
      </c>
      <c r="E10" s="69" t="n">
        <f aca="false">IFERROR(RO_NetM2/(PowerDens/1000*SunYear*E$5*(1-ShadeLoss)*$A10-OMPct*RO_CostM2),"n/a")</f>
        <v>4.21896087045118</v>
      </c>
      <c r="F10" s="69" t="n">
        <f aca="false">IFERROR(RO_NetM2/(PowerDens/1000*SunYear*F$5*(1-ShadeLoss)*$A10-OMPct*RO_CostM2),"n/a")</f>
        <v>3.9379087931421</v>
      </c>
    </row>
    <row r="11" customFormat="false" ht="15" hidden="false" customHeight="false" outlineLevel="0" collapsed="false">
      <c r="A11" s="68" t="n">
        <v>13</v>
      </c>
      <c r="B11" s="69" t="n">
        <f aca="false">IFERROR(RO_NetM2/(PowerDens/1000*SunYear*B$5*(1-ShadeLoss)*$A11-OMPct*RO_CostM2),"n/a")</f>
        <v>4.92145870056527</v>
      </c>
      <c r="C11" s="69" t="n">
        <f aca="false">IFERROR(RO_NetM2/(PowerDens/1000*SunYear*C$5*(1-ShadeLoss)*$A11-OMPct*RO_CostM2),"n/a")</f>
        <v>4.51430146402108</v>
      </c>
      <c r="D11" s="69" t="n">
        <f aca="false">IFERROR(RO_NetM2/(PowerDens/1000*SunYear*D$5*(1-ShadeLoss)*$A11-OMPct*RO_CostM2),"n/a")</f>
        <v>4.16936564377968</v>
      </c>
      <c r="E11" s="69" t="n">
        <f aca="false">IFERROR(RO_NetM2/(PowerDens/1000*SunYear*E$5*(1-ShadeLoss)*$A11-OMPct*RO_CostM2),"n/a")</f>
        <v>3.87340076820524</v>
      </c>
      <c r="F11" s="69" t="n">
        <f aca="false">IFERROR(RO_NetM2/(PowerDens/1000*SunYear*F$5*(1-ShadeLoss)*$A11-OMPct*RO_CostM2),"n/a")</f>
        <v>3.6166693635661</v>
      </c>
    </row>
    <row r="12" customFormat="false" ht="15" hidden="false" customHeight="false" outlineLevel="0" collapsed="false">
      <c r="A12" s="68" t="n">
        <v>14</v>
      </c>
      <c r="B12" s="69" t="n">
        <f aca="false">IFERROR(RO_NetM2/(PowerDens/1000*SunYear*B$5*(1-ShadeLoss)*$A12-OMPct*RO_CostM2),"n/a")</f>
        <v>4.54321413189076</v>
      </c>
      <c r="C12" s="69" t="n">
        <f aca="false">IFERROR(RO_NetM2/(PowerDens/1000*SunYear*C$5*(1-ShadeLoss)*$A12-OMPct*RO_CostM2),"n/a")</f>
        <v>4.16936564377968</v>
      </c>
      <c r="D12" s="69" t="n">
        <f aca="false">IFERROR(RO_NetM2/(PowerDens/1000*SunYear*D$5*(1-ShadeLoss)*$A12-OMPct*RO_CostM2),"n/a")</f>
        <v>3.85236519803212</v>
      </c>
      <c r="E12" s="69" t="n">
        <f aca="false">IFERROR(RO_NetM2/(PowerDens/1000*SunYear*E$5*(1-ShadeLoss)*$A12-OMPct*RO_CostM2),"n/a")</f>
        <v>3.58016238163483</v>
      </c>
      <c r="F12" s="69" t="n">
        <f aca="false">IFERROR(RO_NetM2/(PowerDens/1000*SunYear*F$5*(1-ShadeLoss)*$A12-OMPct*RO_CostM2),"n/a")</f>
        <v>3.34388787239379</v>
      </c>
    </row>
    <row r="15" customFormat="false" ht="18" hidden="false" customHeight="true" outlineLevel="0" collapsed="false">
      <c r="A15" s="7" t="s">
        <v>445</v>
      </c>
      <c r="B15" s="8"/>
      <c r="C15" s="8"/>
      <c r="D15" s="8"/>
      <c r="E15" s="8"/>
    </row>
    <row r="16" customFormat="false" ht="15" hidden="false" customHeight="false" outlineLevel="0" collapsed="false">
      <c r="A16" s="3" t="s">
        <v>446</v>
      </c>
      <c r="B16" s="70" t="n">
        <v>6500</v>
      </c>
      <c r="C16" s="70" t="n">
        <v>7500</v>
      </c>
      <c r="D16" s="70" t="n">
        <v>8500</v>
      </c>
      <c r="E16" s="70" t="n">
        <v>9500</v>
      </c>
    </row>
    <row r="17" customFormat="false" ht="15" hidden="false" customHeight="false" outlineLevel="0" collapsed="false">
      <c r="A17" s="68" t="n">
        <v>8</v>
      </c>
      <c r="B17" s="69" t="n">
        <f aca="false">IFERROR((RO_NetM2-RO_PV+B$16+LogPct*(B$16-RO_PV))/(PowerDens/1000*SunYear*PR*(1-ShadeLoss)*$A17-OMPct*(RO_CostM2-RO_PV+B$16)),"n/a")</f>
        <v>5.28257721686537</v>
      </c>
      <c r="C17" s="69" t="n">
        <f aca="false">IFERROR((RO_NetM2-RO_PV+C$16+LogPct*(C$16-RO_PV))/(PowerDens/1000*SunYear*PR*(1-ShadeLoss)*$A17-OMPct*(RO_CostM2-RO_PV+C$16)),"n/a")</f>
        <v>6.00532196752753</v>
      </c>
      <c r="D17" s="69" t="n">
        <f aca="false">IFERROR((RO_NetM2-RO_PV+D$16+LogPct*(D$16-RO_PV))/(PowerDens/1000*SunYear*PR*(1-ShadeLoss)*$A17-OMPct*(RO_CostM2-RO_PV+D$16)),"n/a")</f>
        <v>6.74207855156783</v>
      </c>
      <c r="E17" s="69" t="n">
        <f aca="false">IFERROR((RO_NetM2-RO_PV+E$16+LogPct*(E$16-RO_PV))/(PowerDens/1000*SunYear*PR*(1-ShadeLoss)*$A17-OMPct*(RO_CostM2-RO_PV+E$16)),"n/a")</f>
        <v>7.49325842802407</v>
      </c>
    </row>
    <row r="18" customFormat="false" ht="15" hidden="false" customHeight="false" outlineLevel="0" collapsed="false">
      <c r="A18" s="68" t="n">
        <v>9</v>
      </c>
      <c r="B18" s="69" t="n">
        <f aca="false">IFERROR((RO_NetM2-RO_PV+B$16+LogPct*(B$16-RO_PV))/(PowerDens/1000*SunYear*PR*(1-ShadeLoss)*$A18-OMPct*(RO_CostM2-RO_PV+B$16)),"n/a")</f>
        <v>4.64831440705104</v>
      </c>
      <c r="C18" s="69" t="n">
        <f aca="false">IFERROR((RO_NetM2-RO_PV+C$16+LogPct*(C$16-RO_PV))/(PowerDens/1000*SunYear*PR*(1-ShadeLoss)*$A18-OMPct*(RO_CostM2-RO_PV+C$16)),"n/a")</f>
        <v>5.27819727301787</v>
      </c>
      <c r="D18" s="69" t="n">
        <f aca="false">IFERROR((RO_NetM2-RO_PV+D$16+LogPct*(D$16-RO_PV))/(PowerDens/1000*SunYear*PR*(1-ShadeLoss)*$A18-OMPct*(RO_CostM2-RO_PV+D$16)),"n/a")</f>
        <v>5.91880050731939</v>
      </c>
      <c r="E18" s="69" t="n">
        <f aca="false">IFERROR((RO_NetM2-RO_PV+E$16+LogPct*(E$16-RO_PV))/(PowerDens/1000*SunYear*PR*(1-ShadeLoss)*$A18-OMPct*(RO_CostM2-RO_PV+E$16)),"n/a")</f>
        <v>6.5704001438786</v>
      </c>
    </row>
    <row r="19" customFormat="false" ht="15" hidden="false" customHeight="false" outlineLevel="0" collapsed="false">
      <c r="A19" s="68" t="n">
        <v>10</v>
      </c>
      <c r="B19" s="69" t="n">
        <f aca="false">IFERROR((RO_NetM2-RO_PV+B$16+LogPct*(B$16-RO_PV))/(PowerDens/1000*SunYear*PR*(1-ShadeLoss)*$A19-OMPct*(RO_CostM2-RO_PV+B$16)),"n/a")</f>
        <v>4.15003273247092</v>
      </c>
      <c r="C19" s="69" t="n">
        <f aca="false">IFERROR((RO_NetM2-RO_PV+C$16+LogPct*(C$16-RO_PV))/(PowerDens/1000*SunYear*PR*(1-ShadeLoss)*$A19-OMPct*(RO_CostM2-RO_PV+C$16)),"n/a")</f>
        <v>4.70813593092867</v>
      </c>
      <c r="D19" s="69" t="n">
        <f aca="false">IFERROR((RO_NetM2-RO_PV+D$16+LogPct*(D$16-RO_PV))/(PowerDens/1000*SunYear*PR*(1-ShadeLoss)*$A19-OMPct*(RO_CostM2-RO_PV+D$16)),"n/a")</f>
        <v>5.27470416575933</v>
      </c>
      <c r="E19" s="69" t="n">
        <f aca="false">IFERROR((RO_NetM2-RO_PV+E$16+LogPct*(E$16-RO_PV))/(PowerDens/1000*SunYear*PR*(1-ShadeLoss)*$A19-OMPct*(RO_CostM2-RO_PV+E$16)),"n/a")</f>
        <v>5.84993149897957</v>
      </c>
    </row>
    <row r="20" customFormat="false" ht="15" hidden="false" customHeight="false" outlineLevel="0" collapsed="false">
      <c r="A20" s="68" t="n">
        <v>11</v>
      </c>
      <c r="B20" s="69" t="n">
        <f aca="false">IFERROR((RO_NetM2-RO_PV+B$16+LogPct*(B$16-RO_PV))/(PowerDens/1000*SunYear*PR*(1-ShadeLoss)*$A20-OMPct*(RO_CostM2-RO_PV+B$16)),"n/a")</f>
        <v>3.74823604458269</v>
      </c>
      <c r="C20" s="69" t="n">
        <f aca="false">IFERROR((RO_NetM2-RO_PV+C$16+LogPct*(C$16-RO_PV))/(PowerDens/1000*SunYear*PR*(1-ShadeLoss)*$A20-OMPct*(RO_CostM2-RO_PV+C$16)),"n/a")</f>
        <v>4.24920850241337</v>
      </c>
      <c r="D20" s="69" t="n">
        <f aca="false">IFERROR((RO_NetM2-RO_PV+D$16+LogPct*(D$16-RO_PV))/(PowerDens/1000*SunYear*PR*(1-ShadeLoss)*$A20-OMPct*(RO_CostM2-RO_PV+D$16)),"n/a")</f>
        <v>4.75703373238092</v>
      </c>
      <c r="E20" s="69" t="n">
        <f aca="false">IFERROR((RO_NetM2-RO_PV+E$16+LogPct*(E$16-RO_PV))/(PowerDens/1000*SunYear*PR*(1-ShadeLoss)*$A20-OMPct*(RO_CostM2-RO_PV+E$16)),"n/a")</f>
        <v>5.27185331077936</v>
      </c>
    </row>
    <row r="21" customFormat="false" ht="15" hidden="false" customHeight="false" outlineLevel="0" collapsed="false">
      <c r="A21" s="68" t="n">
        <v>12</v>
      </c>
      <c r="B21" s="69" t="n">
        <f aca="false">IFERROR((RO_NetM2-RO_PV+B$16+LogPct*(B$16-RO_PV))/(PowerDens/1000*SunYear*PR*(1-ShadeLoss)*$A21-OMPct*(RO_CostM2-RO_PV+B$16)),"n/a")</f>
        <v>3.41737372768643</v>
      </c>
      <c r="C21" s="69" t="n">
        <f aca="false">IFERROR((RO_NetM2-RO_PV+C$16+LogPct*(C$16-RO_PV))/(PowerDens/1000*SunYear*PR*(1-ShadeLoss)*$A21-OMPct*(RO_CostM2-RO_PV+C$16)),"n/a")</f>
        <v>3.87180296360306</v>
      </c>
      <c r="D21" s="69" t="n">
        <f aca="false">IFERROR((RO_NetM2-RO_PV+D$16+LogPct*(D$16-RO_PV))/(PowerDens/1000*SunYear*PR*(1-ShadeLoss)*$A21-OMPct*(RO_CostM2-RO_PV+D$16)),"n/a")</f>
        <v>4.3318927696048</v>
      </c>
      <c r="E21" s="69" t="n">
        <f aca="false">IFERROR((RO_NetM2-RO_PV+E$16+LogPct*(E$16-RO_PV))/(PowerDens/1000*SunYear*PR*(1-ShadeLoss)*$A21-OMPct*(RO_CostM2-RO_PV+E$16)),"n/a")</f>
        <v>4.79774957437232</v>
      </c>
    </row>
    <row r="22" customFormat="false" ht="15" hidden="false" customHeight="false" outlineLevel="0" collapsed="false">
      <c r="A22" s="68" t="n">
        <v>13</v>
      </c>
      <c r="B22" s="69" t="n">
        <f aca="false">IFERROR((RO_NetM2-RO_PV+B$16+LogPct*(B$16-RO_PV))/(PowerDens/1000*SunYear*PR*(1-ShadeLoss)*$A22-OMPct*(RO_CostM2-RO_PV+B$16)),"n/a")</f>
        <v>3.14018497442656</v>
      </c>
      <c r="C22" s="69" t="n">
        <f aca="false">IFERROR((RO_NetM2-RO_PV+C$16+LogPct*(C$16-RO_PV))/(PowerDens/1000*SunYear*PR*(1-ShadeLoss)*$A22-OMPct*(RO_CostM2-RO_PV+C$16)),"n/a")</f>
        <v>3.55596942516088</v>
      </c>
      <c r="D22" s="69" t="n">
        <f aca="false">IFERROR((RO_NetM2-RO_PV+D$16+LogPct*(D$16-RO_PV))/(PowerDens/1000*SunYear*PR*(1-ShadeLoss)*$A22-OMPct*(RO_CostM2-RO_PV+D$16)),"n/a")</f>
        <v>3.97650817316621</v>
      </c>
      <c r="E22" s="69" t="n">
        <f aca="false">IFERROR((RO_NetM2-RO_PV+E$16+LogPct*(E$16-RO_PV))/(PowerDens/1000*SunYear*PR*(1-ShadeLoss)*$A22-OMPct*(RO_CostM2-RO_PV+E$16)),"n/a")</f>
        <v>4.40188323202487</v>
      </c>
    </row>
    <row r="23" customFormat="false" ht="15" hidden="false" customHeight="false" outlineLevel="0" collapsed="false">
      <c r="A23" s="68" t="n">
        <v>14</v>
      </c>
      <c r="B23" s="69" t="n">
        <f aca="false">IFERROR((RO_NetM2-RO_PV+B$16+LogPct*(B$16-RO_PV))/(PowerDens/1000*SunYear*PR*(1-ShadeLoss)*$A23-OMPct*(RO_CostM2-RO_PV+B$16)),"n/a")</f>
        <v>2.90458902428208</v>
      </c>
      <c r="C23" s="69" t="n">
        <f aca="false">IFERROR((RO_NetM2-RO_PV+C$16+LogPct*(C$16-RO_PV))/(PowerDens/1000*SunYear*PR*(1-ShadeLoss)*$A23-OMPct*(RO_CostM2-RO_PV+C$16)),"n/a")</f>
        <v>3.28777651835241</v>
      </c>
      <c r="D23" s="69" t="n">
        <f aca="false">IFERROR((RO_NetM2-RO_PV+D$16+LogPct*(D$16-RO_PV))/(PowerDens/1000*SunYear*PR*(1-ShadeLoss)*$A23-OMPct*(RO_CostM2-RO_PV+D$16)),"n/a")</f>
        <v>3.67501337309459</v>
      </c>
      <c r="E23" s="69" t="n">
        <f aca="false">IFERROR((RO_NetM2-RO_PV+E$16+LogPct*(E$16-RO_PV))/(PowerDens/1000*SunYear*PR*(1-ShadeLoss)*$A23-OMPct*(RO_CostM2-RO_PV+E$16)),"n/a")</f>
        <v>4.0663641173186</v>
      </c>
    </row>
    <row r="26" customFormat="false" ht="18" hidden="false" customHeight="true" outlineLevel="0" collapsed="false">
      <c r="A26" s="7" t="s">
        <v>447</v>
      </c>
      <c r="B26" s="8"/>
      <c r="C26" s="8"/>
      <c r="D26" s="8"/>
      <c r="E26" s="8"/>
      <c r="F26" s="8"/>
    </row>
    <row r="27" customFormat="false" ht="15" hidden="false" customHeight="false" outlineLevel="0" collapsed="false">
      <c r="A27" s="3" t="s">
        <v>448</v>
      </c>
      <c r="B27" s="67" t="n">
        <v>0</v>
      </c>
      <c r="C27" s="67" t="n">
        <v>0.25</v>
      </c>
      <c r="D27" s="67" t="n">
        <v>0.5</v>
      </c>
      <c r="E27" s="67" t="n">
        <v>0.75</v>
      </c>
    </row>
    <row r="28" customFormat="false" ht="15" hidden="false" customHeight="false" outlineLevel="0" collapsed="false">
      <c r="A28" s="5" t="s">
        <v>16</v>
      </c>
      <c r="B28" s="69" t="n">
        <f aca="false">IFERROR((PilotPays+(CoFund-B27)*PVPilot*PilotArea)/(PE_Save1-PE_OM1),"n/a")</f>
        <v>8.11554424650536</v>
      </c>
      <c r="C28" s="69" t="n">
        <f aca="false">IFERROR((PilotPays+(CoFund-C27)*PVPilot*PilotArea)/(PE_Save1-PE_OM1),"n/a")</f>
        <v>6.72638702119561</v>
      </c>
      <c r="D28" s="69" t="n">
        <f aca="false">IFERROR((PilotPays+(CoFund-D27)*PVPilot*PilotArea)/(PE_Save1-PE_OM1),"n/a")</f>
        <v>5.33722979588586</v>
      </c>
      <c r="E28" s="69" t="n">
        <f aca="false">IFERROR((PilotPays+(CoFund-E27)*PVPilot*PilotArea)/(PE_Save1-PE_OM1),"n/a")</f>
        <v>3.94807257057611</v>
      </c>
    </row>
    <row r="30" customFormat="false" ht="43.25" hidden="false" customHeight="false" outlineLevel="0" collapsed="false">
      <c r="A30" s="22" t="s">
        <v>449</v>
      </c>
    </row>
  </sheetData>
  <conditionalFormatting sqref="B6:F12">
    <cfRule type="cellIs" priority="2" operator="lessThanOrEqual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6.0001</formula>
      <formula>9</formula>
    </cfRule>
    <cfRule type="cellIs" priority="4" operator="greaterThan" aboveAverage="0" equalAverage="0" bottom="0" percent="0" rank="0" text="" dxfId="2">
      <formula>9</formula>
    </cfRule>
  </conditionalFormatting>
  <conditionalFormatting sqref="B17:E23">
    <cfRule type="cellIs" priority="5" operator="lessThanOrEqual" aboveAverage="0" equalAverage="0" bottom="0" percent="0" rank="0" text="" dxfId="0">
      <formula>6</formula>
    </cfRule>
    <cfRule type="cellIs" priority="6" operator="between" aboveAverage="0" equalAverage="0" bottom="0" percent="0" rank="0" text="" dxfId="1">
      <formula>6.0001</formula>
      <formula>9</formula>
    </cfRule>
    <cfRule type="cellIs" priority="7" operator="greaterThan" aboveAverage="0" equalAverage="0" bottom="0" percent="0" rank="0" text="" dxfId="2">
      <formula>9</formula>
    </cfRule>
  </conditionalFormatting>
  <conditionalFormatting sqref="B28:E28">
    <cfRule type="cellIs" priority="8" operator="lessThanOrEqual" aboveAverage="0" equalAverage="0" bottom="0" percent="0" rank="0" text="" dxfId="0">
      <formula>6</formula>
    </cfRule>
    <cfRule type="cellIs" priority="9" operator="between" aboveAverage="0" equalAverage="0" bottom="0" percent="0" rank="0" text="" dxfId="1">
      <formula>6.0001</formula>
      <formula>9</formula>
    </cfRule>
    <cfRule type="cellIs" priority="10" operator="greaterThan" aboveAverage="0" equalAverage="0" bottom="0" percent="0" rank="0" text="" dxfId="2">
      <formula>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33"/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6"/>
    <col collapsed="false" customWidth="true" hidden="false" outlineLevel="0" max="6" min="6" style="0" width="40"/>
  </cols>
  <sheetData>
    <row r="1" customFormat="false" ht="25.5" hidden="false" customHeight="true" outlineLevel="0" collapsed="false">
      <c r="A1" s="16" t="s">
        <v>450</v>
      </c>
    </row>
    <row r="2" customFormat="false" ht="15" hidden="false" customHeight="false" outlineLevel="0" collapsed="false">
      <c r="A2" s="17" t="s">
        <v>451</v>
      </c>
    </row>
    <row r="4" customFormat="false" ht="15" hidden="false" customHeight="false" outlineLevel="0" collapsed="false">
      <c r="A4" s="18" t="s">
        <v>452</v>
      </c>
      <c r="B4" s="19" t="s">
        <v>7</v>
      </c>
      <c r="C4" s="19" t="s">
        <v>453</v>
      </c>
      <c r="D4" s="19" t="s">
        <v>454</v>
      </c>
      <c r="E4" s="19" t="s">
        <v>455</v>
      </c>
      <c r="F4" s="19" t="s">
        <v>340</v>
      </c>
    </row>
    <row r="5" customFormat="false" ht="15" hidden="false" customHeight="false" outlineLevel="0" collapsed="false">
      <c r="A5" s="3" t="s">
        <v>456</v>
      </c>
      <c r="B5" s="11" t="n">
        <f aca="false">PilotArea</f>
        <v>20</v>
      </c>
      <c r="C5" s="11" t="n">
        <f aca="false">Phase2Area</f>
        <v>200</v>
      </c>
      <c r="D5" s="11" t="n">
        <f aca="false">CampusArea</f>
        <v>1000</v>
      </c>
      <c r="E5" s="11" t="n">
        <f aca="false">PortfolioArea</f>
        <v>5000</v>
      </c>
    </row>
    <row r="6" customFormat="false" ht="15" hidden="false" customHeight="false" outlineLevel="0" collapsed="false">
      <c r="A6" s="5" t="s">
        <v>315</v>
      </c>
      <c r="B6" s="29" t="n">
        <f aca="false">B5*PowerDens/1000</f>
        <v>3.2</v>
      </c>
      <c r="C6" s="29" t="n">
        <f aca="false">C5*PowerDens/1000</f>
        <v>32</v>
      </c>
      <c r="D6" s="29" t="n">
        <f aca="false">D5*PowerDens/1000</f>
        <v>160</v>
      </c>
      <c r="E6" s="29" t="n">
        <f aca="false">E5*PowerDens/1000</f>
        <v>800</v>
      </c>
    </row>
    <row r="7" customFormat="false" ht="15" hidden="false" customHeight="false" outlineLevel="0" collapsed="false">
      <c r="A7" s="5" t="s">
        <v>457</v>
      </c>
      <c r="B7" s="29" t="n">
        <f aca="false">B6*SpecYield/1000</f>
        <v>4.30481074750987</v>
      </c>
      <c r="C7" s="29" t="n">
        <f aca="false">C6*SpecYield/1000</f>
        <v>43.0481074750987</v>
      </c>
      <c r="D7" s="29" t="n">
        <f aca="false">D6*SpecYield/1000</f>
        <v>215.240537375494</v>
      </c>
      <c r="E7" s="29" t="n">
        <f aca="false">E6*SpecYield/1000</f>
        <v>1076.20268687747</v>
      </c>
    </row>
    <row r="8" customFormat="false" ht="15" hidden="false" customHeight="false" outlineLevel="0" collapsed="false">
      <c r="A8" s="5" t="s">
        <v>458</v>
      </c>
      <c r="B8" s="33" t="n">
        <f aca="false">B7*1000*Tariff/100000</f>
        <v>0.387432967275889</v>
      </c>
      <c r="C8" s="33" t="n">
        <f aca="false">C7*1000*Tariff/100000</f>
        <v>3.87432967275888</v>
      </c>
      <c r="D8" s="33" t="n">
        <f aca="false">D7*1000*Tariff/100000</f>
        <v>19.3716483637944</v>
      </c>
      <c r="E8" s="33" t="n">
        <f aca="false">E7*1000*Tariff/100000</f>
        <v>96.8582418189721</v>
      </c>
    </row>
    <row r="9" customFormat="false" ht="15" hidden="false" customHeight="false" outlineLevel="0" collapsed="false">
      <c r="A9" s="5" t="s">
        <v>459</v>
      </c>
      <c r="B9" s="29" t="n">
        <f aca="false">B7*GridEF</f>
        <v>3.05641563073201</v>
      </c>
      <c r="C9" s="29" t="n">
        <f aca="false">C7*GridEF</f>
        <v>30.5641563073201</v>
      </c>
      <c r="D9" s="29" t="n">
        <f aca="false">D7*GridEF</f>
        <v>152.8207815366</v>
      </c>
      <c r="E9" s="29" t="n">
        <f aca="false">E7*GridEF</f>
        <v>764.103907683002</v>
      </c>
    </row>
    <row r="10" customFormat="false" ht="15" hidden="false" customHeight="false" outlineLevel="0" collapsed="false">
      <c r="A10" s="5" t="s">
        <v>460</v>
      </c>
      <c r="B10" s="53" t="n">
        <f aca="false">IF(BuildType="New walkway",CivilNew,CivilOverlay)+IF(B5&lt;1000,GridT1,IF(B5&lt;2500,GridT2,IF(B5&lt;5000,GridT3,GridT4)))+IF(B5&gt;=ScaleFrom,PVScale,PVPilot)+MLPExtra+BOSWp*PowerDens+LogPct*(IF(BuildType="New walkway",CivilNew,CivilOverlay)+IF(B5&lt;1000,GridT1,IF(B5&lt;2500,GridT2,IF(B5&lt;5000,GridT3,GridT4)))+IF(B5&gt;=ScaleFrom,PVScale,PVPilot)+MLPExtra+BOSWp*PowerDens)+ROUNDUP(B6/ConnKWp,0)*IntegLump/B5+InstallM2</f>
        <v>13874.9</v>
      </c>
      <c r="C10" s="53" t="n">
        <f aca="false">IF(BuildType="New walkway",CivilNew,CivilOverlay)+IF(C5&lt;1000,GridT1,IF(C5&lt;2500,GridT2,IF(C5&lt;5000,GridT3,GridT4)))+IF(C5&gt;=ScaleFrom,PVScale,PVPilot)+MLPExtra+BOSWp*PowerDens+LogPct*(IF(BuildType="New walkway",CivilNew,CivilOverlay)+IF(C5&lt;1000,GridT1,IF(C5&lt;2500,GridT2,IF(C5&lt;5000,GridT3,GridT4)))+IF(C5&gt;=ScaleFrom,PVScale,PVPilot)+MLPExtra+BOSWp*PowerDens)+ROUNDUP(C6/ConnKWp,0)*IntegLump/C5+InstallM2</f>
        <v>12749.9</v>
      </c>
      <c r="D10" s="53" t="n">
        <f aca="false">IF(BuildType="New walkway",CivilNew,CivilOverlay)+IF(D5&lt;1000,GridT1,IF(D5&lt;2500,GridT2,IF(D5&lt;5000,GridT3,GridT4)))+IF(D5&gt;=ScaleFrom,PVScale,PVPilot)+MLPExtra+BOSWp*PowerDens+LogPct*(IF(BuildType="New walkway",CivilNew,CivilOverlay)+IF(D5&lt;1000,GridT1,IF(D5&lt;2500,GridT2,IF(D5&lt;5000,GridT3,GridT4)))+IF(D5&gt;=ScaleFrom,PVScale,PVPilot)+MLPExtra+BOSWp*PowerDens)+ROUNDUP(D6/ConnKWp,0)*IntegLump/D5+InstallM2</f>
        <v>11632.9</v>
      </c>
      <c r="E10" s="53" t="n">
        <f aca="false">IF(BuildType="New walkway",CivilNew,CivilOverlay)+IF(E5&lt;1000,GridT1,IF(E5&lt;2500,GridT2,IF(E5&lt;5000,GridT3,GridT4)))+IF(E5&gt;=ScaleFrom,PVScale,PVPilot)+MLPExtra+BOSWp*PowerDens+LogPct*(IF(BuildType="New walkway",CivilNew,CivilOverlay)+IF(E5&lt;1000,GridT1,IF(E5&lt;2500,GridT2,IF(E5&lt;5000,GridT3,GridT4)))+IF(E5&gt;=ScaleFrom,PVScale,PVPilot)+MLPExtra+BOSWp*PowerDens)+ROUNDUP(E6/ConnKWp,0)*IntegLump/E5+InstallM2</f>
        <v>11549.9</v>
      </c>
    </row>
    <row r="11" customFormat="false" ht="15" hidden="false" customHeight="false" outlineLevel="0" collapsed="false">
      <c r="A11" s="5" t="s">
        <v>461</v>
      </c>
      <c r="B11" s="33" t="n">
        <f aca="false">B10*B5/100000</f>
        <v>2.77498</v>
      </c>
      <c r="C11" s="33" t="n">
        <f aca="false">C10*C5/100000</f>
        <v>25.4998</v>
      </c>
      <c r="D11" s="33" t="n">
        <f aca="false">D10*D5/100000</f>
        <v>116.329</v>
      </c>
      <c r="E11" s="33" t="n">
        <f aca="false">E10*E5/100000</f>
        <v>577.495</v>
      </c>
    </row>
    <row r="12" customFormat="false" ht="15" hidden="false" customHeight="false" outlineLevel="0" collapsed="false">
      <c r="A12" s="5" t="s">
        <v>462</v>
      </c>
      <c r="B12" s="33" t="n">
        <f aca="false">(B10-IF(BuildType="New walkway",ConvWalk,0))*B5/100000</f>
        <v>2.53498</v>
      </c>
      <c r="C12" s="33" t="n">
        <f aca="false">(C10-IF(BuildType="New walkway",ConvWalk,0))*C5/100000</f>
        <v>23.0998</v>
      </c>
      <c r="D12" s="33" t="n">
        <f aca="false">(D10-IF(BuildType="New walkway",ConvWalk,0))*D5/100000</f>
        <v>104.329</v>
      </c>
      <c r="E12" s="33" t="n">
        <f aca="false">(E10-IF(BuildType="New walkway",ConvWalk,0))*E5/100000</f>
        <v>517.495</v>
      </c>
    </row>
    <row r="13" customFormat="false" ht="22.35" hidden="false" customHeight="false" outlineLevel="0" collapsed="false">
      <c r="A13" s="5" t="s">
        <v>463</v>
      </c>
      <c r="B13" s="71" t="n">
        <f aca="false">B12/(B8-OMPct*B11)</f>
        <v>7.33059397327125</v>
      </c>
      <c r="C13" s="71" t="n">
        <f aca="false">C12/(C8-OMPct*C11)</f>
        <v>6.6153799923491</v>
      </c>
      <c r="D13" s="71" t="n">
        <f aca="false">D12/(D8-OMPct*D11)</f>
        <v>5.9188005073194</v>
      </c>
      <c r="E13" s="71" t="n">
        <f aca="false">E12/(E8-OMPct*E11)</f>
        <v>5.86756853856452</v>
      </c>
      <c r="F13" s="22" t="s">
        <v>464</v>
      </c>
    </row>
    <row r="14" customFormat="false" ht="15" hidden="false" customHeight="false" outlineLevel="0" collapsed="false">
      <c r="A14" s="3" t="s">
        <v>465</v>
      </c>
      <c r="B14" s="50" t="n">
        <f aca="false">B5*PlasticLW/1000</f>
        <v>0.08</v>
      </c>
      <c r="C14" s="50" t="n">
        <f aca="false">C5*PlasticLW/1000</f>
        <v>0.8</v>
      </c>
      <c r="D14" s="50" t="n">
        <f aca="false">D5*PlasticLW/1000</f>
        <v>4</v>
      </c>
      <c r="E14" s="50" t="n">
        <f aca="false">E5*PlasticLW/1000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33"/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6" min="5" style="0" width="10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6" t="s">
        <v>466</v>
      </c>
    </row>
    <row r="2" customFormat="false" ht="15" hidden="false" customHeight="false" outlineLevel="0" collapsed="false">
      <c r="A2" s="17" t="s">
        <v>467</v>
      </c>
    </row>
    <row r="4" customFormat="false" ht="15" hidden="false" customHeight="false" outlineLevel="0" collapsed="false">
      <c r="A4" s="18" t="s">
        <v>468</v>
      </c>
      <c r="B4" s="19" t="s">
        <v>469</v>
      </c>
      <c r="C4" s="19" t="s">
        <v>470</v>
      </c>
      <c r="D4" s="19" t="s">
        <v>471</v>
      </c>
      <c r="E4" s="19" t="s">
        <v>472</v>
      </c>
      <c r="F4" s="19" t="s">
        <v>473</v>
      </c>
      <c r="G4" s="19" t="s">
        <v>255</v>
      </c>
    </row>
    <row r="5" customFormat="false" ht="15" hidden="false" customHeight="false" outlineLevel="0" collapsed="false">
      <c r="A5" s="5" t="s">
        <v>474</v>
      </c>
      <c r="B5" s="21" t="s">
        <v>475</v>
      </c>
      <c r="C5" s="21" t="s">
        <v>476</v>
      </c>
      <c r="D5" s="44"/>
      <c r="E5" s="27" t="n">
        <v>0.2</v>
      </c>
      <c r="F5" s="44"/>
    </row>
    <row r="6" customFormat="false" ht="15" hidden="false" customHeight="false" outlineLevel="0" collapsed="false">
      <c r="A6" s="5" t="s">
        <v>477</v>
      </c>
      <c r="B6" s="21" t="s">
        <v>478</v>
      </c>
      <c r="C6" s="21" t="s">
        <v>479</v>
      </c>
      <c r="D6" s="44"/>
      <c r="E6" s="27" t="n">
        <v>0.1</v>
      </c>
      <c r="F6" s="44"/>
    </row>
    <row r="7" customFormat="false" ht="15" hidden="false" customHeight="false" outlineLevel="0" collapsed="false">
      <c r="A7" s="5" t="s">
        <v>480</v>
      </c>
      <c r="B7" s="21" t="s">
        <v>481</v>
      </c>
      <c r="C7" s="21" t="s">
        <v>482</v>
      </c>
      <c r="D7" s="44"/>
      <c r="E7" s="27" t="n">
        <v>0.15</v>
      </c>
      <c r="F7" s="44"/>
    </row>
    <row r="8" customFormat="false" ht="15" hidden="false" customHeight="false" outlineLevel="0" collapsed="false">
      <c r="A8" s="5" t="s">
        <v>483</v>
      </c>
      <c r="B8" s="21" t="s">
        <v>484</v>
      </c>
      <c r="C8" s="21" t="s">
        <v>485</v>
      </c>
      <c r="D8" s="44"/>
      <c r="E8" s="27" t="n">
        <v>0.05</v>
      </c>
      <c r="F8" s="44"/>
    </row>
    <row r="9" customFormat="false" ht="15" hidden="false" customHeight="false" outlineLevel="0" collapsed="false">
      <c r="A9" s="5" t="s">
        <v>486</v>
      </c>
      <c r="B9" s="21" t="s">
        <v>487</v>
      </c>
      <c r="C9" s="21" t="s">
        <v>488</v>
      </c>
      <c r="D9" s="44"/>
      <c r="E9" s="27" t="n">
        <v>0.1</v>
      </c>
      <c r="F9" s="44"/>
    </row>
    <row r="10" customFormat="false" ht="15" hidden="false" customHeight="false" outlineLevel="0" collapsed="false">
      <c r="A10" s="5" t="s">
        <v>489</v>
      </c>
      <c r="B10" s="21" t="s">
        <v>490</v>
      </c>
      <c r="C10" s="21" t="s">
        <v>491</v>
      </c>
      <c r="D10" s="44"/>
      <c r="E10" s="27" t="n">
        <v>0.1</v>
      </c>
      <c r="F10" s="44"/>
    </row>
    <row r="11" customFormat="false" ht="15" hidden="false" customHeight="false" outlineLevel="0" collapsed="false">
      <c r="A11" s="5" t="s">
        <v>492</v>
      </c>
      <c r="B11" s="21" t="s">
        <v>493</v>
      </c>
      <c r="C11" s="21" t="s">
        <v>494</v>
      </c>
      <c r="D11" s="44"/>
      <c r="E11" s="27" t="n">
        <v>0.1</v>
      </c>
      <c r="F11" s="44"/>
    </row>
    <row r="12" customFormat="false" ht="15" hidden="false" customHeight="false" outlineLevel="0" collapsed="false">
      <c r="A12" s="5" t="s">
        <v>495</v>
      </c>
      <c r="B12" s="21" t="s">
        <v>496</v>
      </c>
      <c r="C12" s="21" t="s">
        <v>497</v>
      </c>
      <c r="D12" s="44"/>
      <c r="E12" s="27" t="n">
        <v>0.05</v>
      </c>
      <c r="F12" s="44"/>
    </row>
    <row r="13" customFormat="false" ht="15" hidden="false" customHeight="false" outlineLevel="0" collapsed="false">
      <c r="A13" s="5" t="s">
        <v>498</v>
      </c>
      <c r="B13" s="21" t="s">
        <v>499</v>
      </c>
      <c r="C13" s="21" t="s">
        <v>500</v>
      </c>
      <c r="D13" s="44"/>
      <c r="E13" s="27" t="n">
        <v>0.1</v>
      </c>
      <c r="F13" s="44"/>
    </row>
    <row r="14" customFormat="false" ht="15" hidden="false" customHeight="false" outlineLevel="0" collapsed="false">
      <c r="A14" s="5" t="s">
        <v>501</v>
      </c>
      <c r="B14" s="21" t="s">
        <v>502</v>
      </c>
      <c r="C14" s="21" t="s">
        <v>503</v>
      </c>
      <c r="D14" s="44"/>
      <c r="E14" s="27" t="n">
        <v>0.05</v>
      </c>
      <c r="F14" s="44"/>
    </row>
    <row r="15" customFormat="false" ht="15" hidden="false" customHeight="false" outlineLevel="0" collapsed="false">
      <c r="A15" s="3" t="s">
        <v>504</v>
      </c>
      <c r="E15" s="37" t="n">
        <f aca="false">SUM(E5:E14)</f>
        <v>1</v>
      </c>
    </row>
    <row r="16" customFormat="false" ht="15" hidden="false" customHeight="false" outlineLevel="0" collapsed="false">
      <c r="A16" s="3" t="s">
        <v>505</v>
      </c>
      <c r="F16" s="72" t="n">
        <f aca="false">IFERROR(SUMPRODUCT(E5:E14,F5:F14)/SUM(E5:E14),"-")</f>
        <v>0</v>
      </c>
    </row>
    <row r="18" customFormat="false" ht="15" hidden="false" customHeight="true" outlineLevel="0" collapsed="false">
      <c r="A18" s="45" t="s">
        <v>506</v>
      </c>
      <c r="B18" s="45"/>
      <c r="C18" s="45"/>
      <c r="D18" s="45"/>
      <c r="E18" s="45"/>
      <c r="F18" s="45"/>
      <c r="G18" s="45"/>
    </row>
    <row r="19" customFormat="false" ht="15" hidden="false" customHeight="false" outlineLevel="0" collapsed="false">
      <c r="A19" s="45"/>
      <c r="B19" s="45"/>
      <c r="C19" s="45"/>
      <c r="D19" s="45"/>
      <c r="E19" s="45"/>
      <c r="F19" s="45"/>
      <c r="G19" s="45"/>
    </row>
  </sheetData>
  <mergeCells count="1">
    <mergeCell ref="A18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33"/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30"/>
    <col collapsed="false" customWidth="true" hidden="false" outlineLevel="0" max="4" min="4" style="0" width="70"/>
  </cols>
  <sheetData>
    <row r="1" customFormat="false" ht="25.5" hidden="false" customHeight="true" outlineLevel="0" collapsed="false">
      <c r="A1" s="16" t="s">
        <v>507</v>
      </c>
    </row>
    <row r="2" customFormat="false" ht="15" hidden="false" customHeight="false" outlineLevel="0" collapsed="false">
      <c r="A2" s="17" t="s">
        <v>508</v>
      </c>
    </row>
    <row r="4" customFormat="false" ht="18" hidden="false" customHeight="true" outlineLevel="0" collapsed="false">
      <c r="A4" s="7" t="s">
        <v>509</v>
      </c>
      <c r="B4" s="8"/>
      <c r="C4" s="8"/>
      <c r="D4" s="8"/>
    </row>
    <row r="5" customFormat="false" ht="15" hidden="false" customHeight="false" outlineLevel="0" collapsed="false">
      <c r="A5" s="18" t="s">
        <v>28</v>
      </c>
      <c r="B5" s="19" t="s">
        <v>510</v>
      </c>
      <c r="C5" s="19" t="s">
        <v>511</v>
      </c>
      <c r="D5" s="19" t="s">
        <v>512</v>
      </c>
    </row>
    <row r="6" customFormat="false" ht="42" hidden="false" customHeight="true" outlineLevel="0" collapsed="false">
      <c r="A6" s="73" t="s">
        <v>137</v>
      </c>
      <c r="B6" s="22" t="s">
        <v>513</v>
      </c>
      <c r="C6" s="22" t="s">
        <v>514</v>
      </c>
      <c r="D6" s="22" t="s">
        <v>515</v>
      </c>
    </row>
    <row r="7" customFormat="false" ht="42" hidden="false" customHeight="true" outlineLevel="0" collapsed="false">
      <c r="A7" s="73" t="s">
        <v>516</v>
      </c>
      <c r="B7" s="22" t="s">
        <v>517</v>
      </c>
      <c r="C7" s="22" t="s">
        <v>518</v>
      </c>
      <c r="D7" s="22" t="s">
        <v>519</v>
      </c>
    </row>
    <row r="8" customFormat="false" ht="42" hidden="false" customHeight="true" outlineLevel="0" collapsed="false">
      <c r="A8" s="73" t="s">
        <v>520</v>
      </c>
      <c r="B8" s="22" t="s">
        <v>521</v>
      </c>
      <c r="C8" s="22" t="s">
        <v>522</v>
      </c>
      <c r="D8" s="22" t="s">
        <v>523</v>
      </c>
    </row>
    <row r="9" customFormat="false" ht="42" hidden="false" customHeight="true" outlineLevel="0" collapsed="false">
      <c r="A9" s="73" t="s">
        <v>270</v>
      </c>
      <c r="B9" s="22" t="s">
        <v>524</v>
      </c>
      <c r="C9" s="22" t="s">
        <v>525</v>
      </c>
      <c r="D9" s="22" t="s">
        <v>526</v>
      </c>
    </row>
    <row r="10" customFormat="false" ht="42" hidden="false" customHeight="true" outlineLevel="0" collapsed="false">
      <c r="A10" s="73" t="s">
        <v>527</v>
      </c>
      <c r="B10" s="22" t="s">
        <v>528</v>
      </c>
      <c r="C10" s="22" t="s">
        <v>529</v>
      </c>
      <c r="D10" s="22" t="s">
        <v>530</v>
      </c>
    </row>
    <row r="11" customFormat="false" ht="42" hidden="false" customHeight="true" outlineLevel="0" collapsed="false">
      <c r="A11" s="73" t="s">
        <v>531</v>
      </c>
      <c r="B11" s="22" t="s">
        <v>532</v>
      </c>
      <c r="C11" s="22" t="s">
        <v>533</v>
      </c>
      <c r="D11" s="22" t="s">
        <v>534</v>
      </c>
    </row>
    <row r="12" customFormat="false" ht="42" hidden="false" customHeight="true" outlineLevel="0" collapsed="false">
      <c r="A12" s="73" t="s">
        <v>535</v>
      </c>
      <c r="B12" s="22" t="s">
        <v>536</v>
      </c>
      <c r="C12" s="22" t="s">
        <v>537</v>
      </c>
      <c r="D12" s="22" t="s">
        <v>538</v>
      </c>
    </row>
    <row r="13" customFormat="false" ht="42" hidden="false" customHeight="true" outlineLevel="0" collapsed="false">
      <c r="A13" s="73" t="s">
        <v>539</v>
      </c>
      <c r="B13" s="22" t="s">
        <v>540</v>
      </c>
      <c r="C13" s="22" t="s">
        <v>541</v>
      </c>
      <c r="D13" s="22" t="s">
        <v>542</v>
      </c>
    </row>
    <row r="15" customFormat="false" ht="18" hidden="false" customHeight="true" outlineLevel="0" collapsed="false">
      <c r="A15" s="7" t="s">
        <v>256</v>
      </c>
      <c r="B15" s="8"/>
      <c r="C15" s="8"/>
      <c r="D15" s="8"/>
    </row>
    <row r="16" customFormat="false" ht="15" hidden="false" customHeight="false" outlineLevel="0" collapsed="false">
      <c r="A16" s="5" t="s">
        <v>543</v>
      </c>
      <c r="D16" s="21" t="s">
        <v>544</v>
      </c>
    </row>
    <row r="17" customFormat="false" ht="15" hidden="false" customHeight="false" outlineLevel="0" collapsed="false">
      <c r="A17" s="5" t="s">
        <v>545</v>
      </c>
      <c r="D17" s="21" t="s">
        <v>546</v>
      </c>
    </row>
    <row r="18" customFormat="false" ht="15" hidden="false" customHeight="false" outlineLevel="0" collapsed="false">
      <c r="A18" s="5" t="s">
        <v>547</v>
      </c>
      <c r="D18" s="21" t="s">
        <v>548</v>
      </c>
    </row>
    <row r="19" customFormat="false" ht="15" hidden="false" customHeight="false" outlineLevel="0" collapsed="false">
      <c r="A19" s="5" t="s">
        <v>549</v>
      </c>
      <c r="D19" s="21" t="s">
        <v>550</v>
      </c>
    </row>
    <row r="20" customFormat="false" ht="15" hidden="false" customHeight="false" outlineLevel="0" collapsed="false">
      <c r="A20" s="5" t="s">
        <v>551</v>
      </c>
      <c r="D20" s="21" t="s">
        <v>552</v>
      </c>
    </row>
    <row r="21" customFormat="false" ht="15" hidden="false" customHeight="false" outlineLevel="0" collapsed="false">
      <c r="A21" s="5" t="s">
        <v>553</v>
      </c>
      <c r="D21" s="21" t="s">
        <v>554</v>
      </c>
    </row>
    <row r="22" customFormat="false" ht="15" hidden="false" customHeight="false" outlineLevel="0" collapsed="false">
      <c r="A22" s="5" t="s">
        <v>555</v>
      </c>
      <c r="D22" s="21" t="s">
        <v>556</v>
      </c>
    </row>
    <row r="23" customFormat="false" ht="15" hidden="false" customHeight="false" outlineLevel="0" collapsed="false">
      <c r="A23" s="5" t="s">
        <v>557</v>
      </c>
      <c r="D23" s="21" t="s">
        <v>558</v>
      </c>
    </row>
    <row r="24" customFormat="false" ht="15" hidden="false" customHeight="false" outlineLevel="0" collapsed="false">
      <c r="A24" s="5" t="s">
        <v>559</v>
      </c>
      <c r="D24" s="21" t="s">
        <v>560</v>
      </c>
    </row>
    <row r="25" customFormat="false" ht="15" hidden="false" customHeight="false" outlineLevel="0" collapsed="false">
      <c r="A25" s="5" t="s">
        <v>561</v>
      </c>
      <c r="D25" s="21" t="s">
        <v>562</v>
      </c>
    </row>
    <row r="26" customFormat="false" ht="15" hidden="false" customHeight="false" outlineLevel="0" collapsed="false">
      <c r="A26" s="5" t="s">
        <v>563</v>
      </c>
      <c r="D26" s="21" t="s">
        <v>564</v>
      </c>
    </row>
    <row r="27" customFormat="false" ht="15" hidden="false" customHeight="false" outlineLevel="0" collapsed="false">
      <c r="A27" s="5" t="s">
        <v>565</v>
      </c>
      <c r="D27" s="21" t="s">
        <v>566</v>
      </c>
    </row>
    <row r="29" customFormat="false" ht="15" hidden="false" customHeight="true" outlineLevel="0" collapsed="false">
      <c r="A29" s="45" t="s">
        <v>567</v>
      </c>
      <c r="B29" s="45"/>
      <c r="C29" s="45"/>
      <c r="D29" s="45"/>
    </row>
    <row r="30" customFormat="false" ht="15" hidden="false" customHeight="false" outlineLevel="0" collapsed="false">
      <c r="A30" s="45"/>
      <c r="B30" s="45"/>
      <c r="C30" s="45"/>
      <c r="D30" s="45"/>
    </row>
  </sheetData>
  <mergeCells count="1">
    <mergeCell ref="A29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2026-10-07T08:22:43Z</dcterms:created>
  <dc:creator>openpyxl</dc:creator>
  <dc:description/>
  <dc:language>en-US</dc:language>
  <cp:lastModifiedBy/>
  <dcterms:modified xsi:type="dcterms:W3CDTF">2026-10-07T08:22:43Z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