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Unit Rates" sheetId="3" state="visible" r:id="rId5"/>
    <sheet name="Road LCC" sheetId="4" state="visible" r:id="rId6"/>
    <sheet name="Solar Park 100MW" sheetId="5" state="visible" r:id="rId7"/>
    <sheet name="Solar Walkway" sheetId="6" state="visible" r:id="rId8"/>
    <sheet name="Sustainability" sheetId="7" state="visible" r:id="rId9"/>
    <sheet name="Pilot Offer" sheetId="8" state="visible" r:id="rId10"/>
    <sheet name="Scale-up" sheetId="9" state="visible" r:id="rId11"/>
    <sheet name="Sensitivity" sheetId="10" state="visible" r:id="rId12"/>
    <sheet name="Sources" sheetId="11" state="visible" r:id="rId13"/>
  </sheets>
  <definedNames>
    <definedName function="false" hidden="false" name="ADRate" vbProcedure="false">Inputs!$C$110</definedName>
    <definedName function="false" hidden="false" name="BitumenEF" vbProcedure="false">Inputs!$C$87</definedName>
    <definedName function="false" hidden="false" name="BlockMWp" vbProcedure="false">Inputs!$C$17</definedName>
    <definedName function="false" hidden="false" name="BOS" vbProcedure="false">Inputs!$C$106</definedName>
    <definedName function="false" hidden="false" name="BT_Binder" vbProcedure="false">Inputs!$C$90</definedName>
    <definedName function="false" hidden="false" name="BT_Capex" vbProcedure="false">Inputs!$C$43</definedName>
    <definedName function="false" hidden="false" name="BT_Cycle" vbProcedure="false">Inputs!$C$53</definedName>
    <definedName function="false" hidden="false" name="BT_Mix" vbProcedure="false">Inputs!$C$89</definedName>
    <definedName function="false" hidden="false" name="BT_Overlay" vbProcedure="false">Inputs!$C$52</definedName>
    <definedName function="false" hidden="false" name="BT_Routine" vbProcedure="false">Inputs!$C$51</definedName>
    <definedName function="false" hidden="false" name="Campus_Cr" vbProcedure="false">'Scale-up'!$E$19</definedName>
    <definedName function="false" hidden="false" name="Campus_MWh" vbProcedure="false">'Scale-up'!$D$19</definedName>
    <definedName function="false" hidden="false" name="Campus_MWp" vbProcedure="false">'Scale-up'!$C$19</definedName>
    <definedName function="false" hidden="false" name="CarbonEsc" vbProcedure="false">Inputs!$C$13</definedName>
    <definedName function="false" hidden="false" name="CarbonPrice" vbProcedure="false">Inputs!$C$12</definedName>
    <definedName function="false" hidden="false" name="CarportCost" vbProcedure="false">Inputs!$C$112</definedName>
    <definedName function="false" hidden="false" name="CementEF" vbProcedure="false">Inputs!$C$84</definedName>
    <definedName function="false" hidden="false" name="ChipRate" vbProcedure="false">Inputs!$C$77</definedName>
    <definedName function="false" hidden="false" name="CleanCost" vbProcedure="false">Inputs!$C$31</definedName>
    <definedName function="false" hidden="false" name="CleanSave" vbProcedure="false">Inputs!$C$32</definedName>
    <definedName function="false" hidden="false" name="CoFund" vbProcedure="false">Inputs!$C$126</definedName>
    <definedName function="false" hidden="false" name="ContainerM2" vbProcedure="false">Inputs!$C$129</definedName>
    <definedName function="false" hidden="false" name="CostEsc" vbProcedure="false">Inputs!$C$10</definedName>
    <definedName function="false" hidden="false" name="CTGInfill" vbProcedure="false">Inputs!$C$78</definedName>
    <definedName function="false" hidden="false" name="DaysEarly" vbProcedure="false">Inputs!$C$33</definedName>
    <definedName function="false" hidden="false" name="Degr" vbProcedure="false">Inputs!$C$20</definedName>
    <definedName function="false" hidden="false" name="DesignValue" vbProcedure="false">Inputs!$C$124</definedName>
    <definedName function="false" hidden="false" name="DiscRate" vbProcedure="false">Inputs!$C$9</definedName>
    <definedName function="false" hidden="false" name="DustCost" vbProcedure="false">Inputs!$C$35</definedName>
    <definedName function="false" hidden="false" name="DustCutS2" vbProcedure="false">Inputs!$C$30</definedName>
    <definedName function="false" hidden="false" name="DustDays" vbProcedure="false">Inputs!$C$37</definedName>
    <definedName function="false" hidden="false" name="DustShare" vbProcedure="false">Inputs!$C$29</definedName>
    <definedName function="false" hidden="false" name="DustWater" vbProcedure="false">Inputs!$C$36</definedName>
    <definedName function="false" hidden="false" name="DustYears" vbProcedure="false">Inputs!$C$34</definedName>
    <definedName function="false" hidden="false" name="EnergyEsc" vbProcedure="false">Inputs!$C$22</definedName>
    <definedName function="false" hidden="false" name="EnergyValue" vbProcedure="false">Inputs!$C$21</definedName>
    <definedName function="false" hidden="false" name="Freight" vbProcedure="false">Inputs!$C$68</definedName>
    <definedName function="false" hidden="false" name="Geotex" vbProcedure="false">Inputs!$C$67</definedName>
    <definedName function="false" hidden="false" name="GM_RoutinePct" vbProcedure="false">Inputs!$C$57</definedName>
    <definedName function="false" hidden="false" name="GridEF" vbProcedure="false">Inputs!$C$14</definedName>
    <definedName function="false" hidden="false" name="GridHD" vbProcedure="false">Inputs!$C$64</definedName>
    <definedName function="false" hidden="false" name="GridLW" vbProcedure="false">Inputs!$C$65</definedName>
    <definedName function="false" hidden="false" name="GridLWSmall" vbProcedure="false">Inputs!$C$66</definedName>
    <definedName function="false" hidden="false" name="GSBRate" vbProcedure="false">Inputs!$C$73</definedName>
    <definedName function="false" hidden="false" name="HotMixEF" vbProcedure="false">Inputs!$C$88</definedName>
    <definedName function="false" hidden="false" name="Infiltr" vbProcedure="false">Inputs!$C$39</definedName>
    <definedName function="false" hidden="false" name="InvRepl" vbProcedure="false">Inputs!$C$108</definedName>
    <definedName function="false" hidden="false" name="InvYear" vbProcedure="false">Inputs!$C$109</definedName>
    <definedName function="false" hidden="false" name="LayLab" vbProcedure="false">Inputs!$C$69</definedName>
    <definedName function="false" hidden="false" name="LayRate" vbProcedure="false">Inputs!$C$121</definedName>
    <definedName function="false" hidden="false" name="LCC_BT" vbProcedure="false">'Road LCC'!$E$44</definedName>
    <definedName function="false" hidden="false" name="LCC_PQC" vbProcedure="false">'Road LCC'!$E$45</definedName>
    <definedName function="false" hidden="false" name="LCC_S1" vbProcedure="false">'Road LCC'!$E$46</definedName>
    <definedName function="false" hidden="false" name="LCC_S2" vbProcedure="false">'Road LCC'!$E$47</definedName>
    <definedName function="false" hidden="false" name="LCC_WBM" vbProcedure="false">'Road LCC'!$E$43</definedName>
    <definedName function="false" hidden="false" name="ListHD" vbProcedure="false">Inputs!$C$118</definedName>
    <definedName function="false" hidden="false" name="MainArea" vbProcedure="false">'Solar Park 100MW'!$B$7</definedName>
    <definedName function="false" hidden="false" name="MainBaseline" vbProcedure="false">Inputs!$C$27</definedName>
    <definedName function="false" hidden="false" name="MainShare" vbProcedure="false">Inputs!$C$24</definedName>
    <definedName function="false" hidden="false" name="MainWidth" vbProcedure="false">Inputs!$C$25</definedName>
    <definedName function="false" hidden="false" name="ManDay" vbProcedure="false">Inputs!$C$122</definedName>
    <definedName function="false" hidden="false" name="MonitorValue" vbProcedure="false">Inputs!$C$125</definedName>
    <definedName function="false" hidden="false" name="NailDensity" vbProcedure="false">Inputs!$C$71</definedName>
    <definedName function="false" hidden="false" name="NailPrice" vbProcedure="false">Inputs!$C$70</definedName>
    <definedName function="false" hidden="false" name="OfferHD" vbProcedure="false">Inputs!$C$119</definedName>
    <definedName function="false" hidden="false" name="OGSBRate" vbProcedure="false">Inputs!$C$74</definedName>
    <definedName function="false" hidden="false" name="OV_Binder" vbProcedure="false">Inputs!$C$92</definedName>
    <definedName function="false" hidden="false" name="OV_Mix" vbProcedure="false">Inputs!$C$91</definedName>
    <definedName function="false" hidden="false" name="ParkArea" vbProcedure="false">'Solar Park 100MW'!$B$9</definedName>
    <definedName function="false" hidden="false" name="ParkKm" vbProcedure="false">'Solar Park 100MW'!$B$6</definedName>
    <definedName function="false" hidden="false" name="Park_BCR" vbProcedure="false">'Solar Park 100MW'!$B$49</definedName>
    <definedName function="false" hidden="false" name="Park_CO2" vbProcedure="false">'Solar Park 100MW'!$B$53</definedName>
    <definedName function="false" hidden="false" name="Park_IRR" vbProcedure="false">'Solar Park 100MW'!$B$42</definedName>
    <definedName function="false" hidden="false" name="Park_MWh" vbProcedure="false">'Solar Park 100MW'!$B$52</definedName>
    <definedName function="false" hidden="false" name="Park_NPV" vbProcedure="false">'Solar Park 100MW'!$B$38</definedName>
    <definedName function="false" hidden="false" name="Park_NPV12" vbProcedure="false">'Solar Park 100MW'!$B$51</definedName>
    <definedName function="false" hidden="false" name="Park_NPV8" vbProcedure="false">'Solar Park 100MW'!$B$50</definedName>
    <definedName function="false" hidden="false" name="Park_NPVperMW" vbProcedure="false">'Solar Park 100MW'!$B$39</definedName>
    <definedName function="false" hidden="false" name="Park_Payback" vbProcedure="false">'Solar Park 100MW'!$B$43</definedName>
    <definedName function="false" hidden="false" name="Park_PP" vbProcedure="false">'Solar Park 100MW'!$B$54</definedName>
    <definedName function="false" hidden="false" name="Park_Premium" vbProcedure="false">'Solar Park 100MW'!$B$40</definedName>
    <definedName function="false" hidden="false" name="Park_PremPct" vbProcedure="false">'Solar Park 100MW'!$B$41</definedName>
    <definedName function="false" hidden="false" name="Park_UpkeepNom" vbProcedure="false">'Solar Park 100MW'!$B$55</definedName>
    <definedName function="false" hidden="false" name="Paver_Capex" vbProcedure="false">Inputs!$C$45</definedName>
    <definedName function="false" hidden="false" name="PilotCredit" vbProcedure="false">Inputs!$C$127</definedName>
    <definedName function="false" hidden="false" name="PilotMainKm" vbProcedure="false">Inputs!$C$115</definedName>
    <definedName function="false" hidden="false" name="PilotTrackKm" vbProcedure="false">Inputs!$C$116</definedName>
    <definedName function="false" hidden="false" name="PilotWalk" vbProcedure="false">Inputs!$C$117</definedName>
    <definedName function="false" hidden="false" name="Pilot_Budget" vbProcedure="false">'Pilot Offer'!$G$27</definedName>
    <definedName function="false" hidden="false" name="Pilot_Civil" vbProcedure="false">'Pilot Offer'!$G$26</definedName>
    <definedName function="false" hidden="false" name="Pilot_Contrib" vbProcedure="false">'Pilot Offer'!$G$23</definedName>
    <definedName function="false" hidden="false" name="Pilot_ContribPct" vbProcedure="false">'Pilot Offer'!$G$24</definedName>
    <definedName function="false" hidden="false" name="Pilot_Credit" vbProcedure="false">'Pilot Offer'!$G$30</definedName>
    <definedName function="false" hidden="false" name="Pilot_Days" vbProcedure="false">'Pilot Offer'!$G$29</definedName>
    <definedName function="false" hidden="false" name="Pilot_List" vbProcedure="false">'Pilot Offer'!$E$19</definedName>
    <definedName function="false" hidden="false" name="Pilot_Lock" vbProcedure="false">'Pilot Offer'!$G$32</definedName>
    <definedName function="false" hidden="false" name="Pilot_NetAfterCredit" vbProcedure="false">'Pilot Offer'!$G$31</definedName>
    <definedName function="false" hidden="false" name="Pilot_Offer" vbProcedure="false">'Pilot Offer'!$G$19</definedName>
    <definedName function="false" hidden="false" name="Pilot_Pays" vbProcedure="false">'Pilot Offer'!$G$22</definedName>
    <definedName function="false" hidden="false" name="Pilot_RoadArea" vbProcedure="false">'Pilot Offer'!$G$28</definedName>
    <definedName function="false" hidden="false" name="Pilot_RoadNPV" vbProcedure="false">'Pilot Offer'!$G$33</definedName>
    <definedName function="false" hidden="false" name="Pilot_vsTrial" vbProcedure="false">'Pilot Offer'!$G$25</definedName>
    <definedName function="false" hidden="false" name="PlasticHD" vbProcedure="false">Inputs!$C$81</definedName>
    <definedName function="false" hidden="false" name="PlasticLW" vbProcedure="false">Inputs!$C$82</definedName>
    <definedName function="false" hidden="false" name="PowerDens" vbProcedure="false">Inputs!$C$96</definedName>
    <definedName function="false" hidden="false" name="PPCredit" vbProcedure="false">Inputs!$C$83</definedName>
    <definedName function="false" hidden="false" name="PQC_Capex" vbProcedure="false">Inputs!$C$44</definedName>
    <definedName function="false" hidden="false" name="PQC_Cement" vbProcedure="false">Inputs!$C$85</definedName>
    <definedName function="false" hidden="false" name="PQC_Cycle" vbProcedure="false">Inputs!$C$56</definedName>
    <definedName function="false" hidden="false" name="PQC_Repair" vbProcedure="false">Inputs!$C$55</definedName>
    <definedName function="false" hidden="false" name="PQC_Routine" vbProcedure="false">Inputs!$C$54</definedName>
    <definedName function="false" hidden="false" name="PV_Carbon" vbProcedure="false">'Solar Park 100MW'!$B$48</definedName>
    <definedName function="false" hidden="false" name="PV_Clean" vbProcedure="false">'Solar Park 100MW'!$B$46</definedName>
    <definedName function="false" hidden="false" name="PV_Early" vbProcedure="false">'Solar Park 100MW'!$B$47</definedName>
    <definedName function="false" hidden="false" name="PV_Energy" vbProcedure="false">'Solar Park 100MW'!$B$45</definedName>
    <definedName function="false" hidden="false" name="PV_Upkeep" vbProcedure="false">'Solar Park 100MW'!$B$44</definedName>
    <definedName function="false" hidden="false" name="PW_Area" vbProcedure="false">'Solar Walkway'!$B$52</definedName>
    <definedName function="false" hidden="false" name="PW_Cost" vbProcedure="false">'Solar Walkway'!$B$56</definedName>
    <definedName function="false" hidden="false" name="PW_kWh" vbProcedure="false">'Solar Walkway'!$B$54</definedName>
    <definedName function="false" hidden="false" name="PW_kWp" vbProcedure="false">'Solar Walkway'!$B$53</definedName>
    <definedName function="false" hidden="false" name="PW_Save" vbProcedure="false">'Solar Walkway'!$B$55</definedName>
    <definedName function="false" hidden="false" name="Rainfall" vbProcedure="false">Inputs!$C$38</definedName>
    <definedName function="false" hidden="false" name="Rebate" vbProcedure="false">Inputs!$C$128</definedName>
    <definedName function="false" hidden="false" name="RoadKm" vbProcedure="false">Inputs!$C$23</definedName>
    <definedName function="false" hidden="false" name="RooftopCost" vbProcedure="false">Inputs!$C$111</definedName>
    <definedName function="false" hidden="false" name="S1Edges" vbProcedure="false">Inputs!$C$79</definedName>
    <definedName function="false" hidden="false" name="S1_Capex" vbProcedure="false">'Unit Rates'!$E$17</definedName>
    <definedName function="false" hidden="false" name="S1_Cement" vbProcedure="false">Inputs!$C$86</definedName>
    <definedName function="false" hidden="false" name="S1_Cycle" vbProcedure="false">Inputs!$C$59</definedName>
    <definedName function="false" hidden="false" name="S1_TopUp" vbProcedure="false">Inputs!$C$58</definedName>
    <definedName function="false" hidden="false" name="S2Edges" vbProcedure="false">Inputs!$C$80</definedName>
    <definedName function="false" hidden="false" name="S2LW_Capex" vbProcedure="false">'Unit Rates'!$E$33</definedName>
    <definedName function="false" hidden="false" name="S2_Capex" vbProcedure="false">'Unit Rates'!$E$32</definedName>
    <definedName function="false" hidden="false" name="S2_Cycle" vbProcedure="false">Inputs!$C$61</definedName>
    <definedName function="false" hidden="false" name="S2_TopUp" vbProcedure="false">Inputs!$C$60</definedName>
    <definedName function="false" hidden="false" name="SandRate" vbProcedure="false">Inputs!$C$76</definedName>
    <definedName function="false" hidden="false" name="SavePct_S1_BT" vbProcedure="false">'Road LCC'!$F$52</definedName>
    <definedName function="false" hidden="false" name="SavePct_S1_PQC" vbProcedure="false">'Road LCC'!$F$53</definedName>
    <definedName function="false" hidden="false" name="SavePct_S2_WBM" vbProcedure="false">'Road LCC'!$F$51</definedName>
    <definedName function="false" hidden="false" name="Save_S1_BT" vbProcedure="false">'Road LCC'!$E$52</definedName>
    <definedName function="false" hidden="false" name="Save_S1_PQC" vbProcedure="false">'Road LCC'!$E$53</definedName>
    <definedName function="false" hidden="false" name="Save_S2_WBM" vbProcedure="false">'Road LCC'!$E$51</definedName>
    <definedName function="false" hidden="false" name="Scale1GW_CO2" vbProcedure="false">'Scale-up'!$C$13</definedName>
    <definedName function="false" hidden="false" name="Scale1GW_Km" vbProcedure="false">'Scale-up'!$C$6</definedName>
    <definedName function="false" hidden="false" name="Scale1GW_NPV" vbProcedure="false">'Scale-up'!$C$9</definedName>
    <definedName function="false" hidden="false" name="Scale1GW_PP" vbProcedure="false">'Scale-up'!$C$12</definedName>
    <definedName function="false" hidden="false" name="Scale20GW_Km" vbProcedure="false">'Scale-up'!$E$6</definedName>
    <definedName function="false" hidden="false" name="Scale20GW_NPV" vbProcedure="false">'Scale-up'!$E$9</definedName>
    <definedName function="false" hidden="false" name="Scenario" vbProcedure="false">Inputs!$C$3</definedName>
    <definedName function="false" hidden="false" name="ScnIdx" vbProcedure="false">Inputs!$C$4</definedName>
    <definedName function="false" hidden="false" name="Scn_Base" vbProcedure="false">Sensitivity!$C$25</definedName>
    <definedName function="false" hidden="false" name="Scn_Cons" vbProcedure="false">Sensitivity!$B$25</definedName>
    <definedName function="false" hidden="false" name="Scn_Opt" vbProcedure="false">Sensitivity!$D$25</definedName>
    <definedName function="false" hidden="false" name="Scn_RoadsOnly" vbProcedure="false">Sensitivity!$C$26</definedName>
    <definedName function="false" hidden="false" name="Site" vbProcedure="false">Inputs!$C$95</definedName>
    <definedName function="false" hidden="false" name="SoilingLoss" vbProcedure="false">Inputs!$C$28</definedName>
    <definedName function="false" hidden="false" name="SolarCapex" vbProcedure="false">Inputs!$C$18</definedName>
    <definedName function="false" hidden="false" name="SolarLayer" vbProcedure="false">Inputs!$C$105</definedName>
    <definedName function="false" hidden="false" name="SubgradeRate" vbProcedure="false">Inputs!$C$72</definedName>
    <definedName function="false" hidden="false" name="Sus_Cement" vbProcedure="false">Sustainability!$B$12</definedName>
    <definedName function="false" hidden="false" name="Sus_Cement_P" vbProcedure="false">Sustainability!$C$12</definedName>
    <definedName function="false" hidden="false" name="Sus_CO2" vbProcedure="false">Sustainability!$B$8</definedName>
    <definedName function="false" hidden="false" name="Sus_CO2En" vbProcedure="false">Sustainability!$B$7</definedName>
    <definedName function="false" hidden="false" name="Sus_CO2En_P" vbProcedure="false">Sustainability!$C$7</definedName>
    <definedName function="false" hidden="false" name="Sus_CO2Mat" vbProcedure="false">Sustainability!$B$6</definedName>
    <definedName function="false" hidden="false" name="Sus_CO2Mat_P" vbProcedure="false">Sustainability!$C$6</definedName>
    <definedName function="false" hidden="false" name="Sus_CO2_P" vbProcedure="false">Sustainability!$C$8</definedName>
    <definedName function="false" hidden="false" name="Sus_MWh" vbProcedure="false">Sustainability!$B$9</definedName>
    <definedName function="false" hidden="false" name="Sus_MWh_P" vbProcedure="false">Sustainability!$C$9</definedName>
    <definedName function="false" hidden="false" name="Sus_PP" vbProcedure="false">Sustainability!$B$5</definedName>
    <definedName function="false" hidden="false" name="Sus_PP_P" vbProcedure="false">Sustainability!$C$5</definedName>
    <definedName function="false" hidden="false" name="Sus_Rain" vbProcedure="false">Sustainability!$B$11</definedName>
    <definedName function="false" hidden="false" name="Sus_Rain_P" vbProcedure="false">Sustainability!$C$11</definedName>
    <definedName function="false" hidden="false" name="Sus_Water" vbProcedure="false">Sustainability!$B$10</definedName>
    <definedName function="false" hidden="false" name="Sus_Water_P" vbProcedure="false">Sustainability!$C$10</definedName>
    <definedName function="false" hidden="false" name="TariffEsc" vbProcedure="false">Inputs!$C$102</definedName>
    <definedName function="false" hidden="false" name="TariffJam" vbProcedure="false">Inputs!$C$100</definedName>
    <definedName function="false" hidden="false" name="TariffMum" vbProcedure="false">Inputs!$C$101</definedName>
    <definedName function="false" hidden="false" name="TaxRate" vbProcedure="false">Inputs!$C$11</definedName>
    <definedName function="false" hidden="false" name="TrackArea" vbProcedure="false">'Solar Park 100MW'!$B$8</definedName>
    <definedName function="false" hidden="false" name="TrackWidth" vbProcedure="false">Inputs!$C$26</definedName>
    <definedName function="false" hidden="false" name="TravelValue" vbProcedure="false">Inputs!$C$123</definedName>
    <definedName function="false" hidden="false" name="TrialPrice" vbProcedure="false">Inputs!$C$120</definedName>
    <definedName function="false" hidden="false" name="Upk_BT" vbProcedure="false">'Road LCC'!$D$44</definedName>
    <definedName function="false" hidden="false" name="Upk_PQC" vbProcedure="false">'Road LCC'!$D$45</definedName>
    <definedName function="false" hidden="false" name="Upk_S1" vbProcedure="false">'Road LCC'!$D$46</definedName>
    <definedName function="false" hidden="false" name="Upk_S2" vbProcedure="false">'Road LCC'!$D$47</definedName>
    <definedName function="false" hidden="false" name="Upk_WBM" vbProcedure="false">'Road LCC'!$D$43</definedName>
    <definedName function="false" hidden="false" name="U_CarbEn" vbProcedure="false">'Solar Park 100MW'!$B$63</definedName>
    <definedName function="false" hidden="false" name="U_CarbMat" vbProcedure="false">'Solar Park 100MW'!$B$62</definedName>
    <definedName function="false" hidden="false" name="U_Check" vbProcedure="false">'Solar Park 100MW'!$B$65</definedName>
    <definedName function="false" hidden="false" name="U_Clean" vbProcedure="false">'Solar Park 100MW'!$B$60</definedName>
    <definedName function="false" hidden="false" name="U_Early" vbProcedure="false">'Solar Park 100MW'!$B$61</definedName>
    <definedName function="false" hidden="false" name="U_Energy" vbProcedure="false">'Solar Park 100MW'!$B$59</definedName>
    <definedName function="false" hidden="false" name="U_PVF" vbProcedure="false">'Solar Park 100MW'!$B$64</definedName>
    <definedName function="false" hidden="false" name="U_Road" vbProcedure="false">'Solar Park 100MW'!$B$58</definedName>
    <definedName function="false" hidden="false" name="WBM_Capex" vbProcedure="false">Inputs!$C$42</definedName>
    <definedName function="false" hidden="false" name="WBM_Cycle" vbProcedure="false">Inputs!$C$50</definedName>
    <definedName function="false" hidden="false" name="WBM_Regravel" vbProcedure="false">Inputs!$C$49</definedName>
    <definedName function="false" hidden="false" name="WBM_Routine" vbProcedure="false">Inputs!$C$48</definedName>
    <definedName function="false" hidden="false" name="WkBase" vbProcedure="false">'Unit Rates'!$E$45</definedName>
    <definedName function="false" hidden="false" name="WkDegr" vbProcedure="false">Inputs!$C$103</definedName>
    <definedName function="false" hidden="false" name="WkInc" vbProcedure="false">'Solar Walkway'!$B$11</definedName>
    <definedName function="false" hidden="false" name="WkKWp" vbProcedure="false">'Solar Walkway'!$B$6</definedName>
    <definedName function="false" hidden="false" name="WkLife" vbProcedure="false">Inputs!$C$104</definedName>
    <definedName function="false" hidden="false" name="WkOM" vbProcedure="false">Inputs!$C$107</definedName>
    <definedName function="false" hidden="false" name="WkPerKWp" vbProcedure="false">'Unit Rates'!$E$49</definedName>
    <definedName function="false" hidden="false" name="WkScale_Area" vbProcedure="false">'Scale-up'!$B$22</definedName>
    <definedName function="false" hidden="false" name="WkScale_Cr" vbProcedure="false">'Scale-up'!$E$22</definedName>
    <definedName function="false" hidden="false" name="WkScale_MWh" vbProcedure="false">'Scale-up'!$D$22</definedName>
    <definedName function="false" hidden="false" name="WkScale_MWp" vbProcedure="false">'Scale-up'!$C$22</definedName>
    <definedName function="false" hidden="false" name="WkSolarPart" vbProcedure="false">'Solar Walkway'!$B$12</definedName>
    <definedName function="false" hidden="false" name="WkTariff" vbProcedure="false">'Solar Walkway'!$B$8</definedName>
    <definedName function="false" hidden="false" name="WkTotal" vbProcedure="false">'Unit Rates'!$E$48</definedName>
    <definedName function="false" hidden="false" name="WkYield" vbProcedure="false">'Solar Walkway'!$B$7</definedName>
    <definedName function="false" hidden="false" name="WkYieldJam" vbProcedure="false">Inputs!$C$97</definedName>
    <definedName function="false" hidden="false" name="WkYieldMult" vbProcedure="false">Inputs!$C$99</definedName>
    <definedName function="false" hidden="false" name="WkYieldMum" vbProcedure="false">Inputs!$C$98</definedName>
    <definedName function="false" hidden="false" name="Wk_Gen1" vbProcedure="false">'Solar Walkway'!$B$32</definedName>
    <definedName function="false" hidden="false" name="Wk_GenLife" vbProcedure="false">'Solar Walkway'!$B$38</definedName>
    <definedName function="false" hidden="false" name="Wk_IRR" vbProcedure="false">'Solar Walkway'!$B$34</definedName>
    <definedName function="false" hidden="false" name="Wk_IRRAT" vbProcedure="false">'Solar Walkway'!$B$35</definedName>
    <definedName function="false" hidden="false" name="Wk_LCOE" vbProcedure="false">'Solar Walkway'!$B$37</definedName>
    <definedName function="false" hidden="false" name="Wk_NPV" vbProcedure="false">'Solar Walkway'!$B$33</definedName>
    <definedName function="false" hidden="false" name="Wk_Payback" vbProcedure="false">'Solar Walkway'!$B$36</definedName>
    <definedName function="false" hidden="false" name="Wk_S1_Jam" vbProcedure="false">'Solar Walkway'!$B$42</definedName>
    <definedName function="false" hidden="false" name="Wk_S1_Mum" vbProcedure="false">'Solar Walkway'!$B$43</definedName>
    <definedName function="false" hidden="false" name="Wk_Save1" vbProcedure="false">'Solar Walkway'!$B$31</definedName>
    <definedName function="false" hidden="false" name="Wk_SP_Jam" vbProcedure="false">'Solar Walkway'!$C$42</definedName>
    <definedName function="false" hidden="false" name="Wk_SP_Mum" vbProcedure="false">'Solar Walkway'!$C$43</definedName>
    <definedName function="false" hidden="false" name="WMMRate" vbProcedure="false">Inputs!$C$75</definedName>
    <definedName function="false" hidden="false" name="Yield" vbProcedure="false">Inputs!$C$19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<sst xmlns="http://schemas.openxmlformats.org/spreadsheetml/2006/main" count="905" uniqueCount="666">
  <si>
    <t xml:space="preserve">GridMats Solar × Reliance</t>
  </si>
  <si>
    <t xml:space="preserve">Cost-benefit model for solar-park roads and solar walkways, with a pilot offer</t>
  </si>
  <si>
    <t xml:space="preserve">Prepared for Reliance Industries Ltd (Reliance New Energy) by GroundReality Enterprises Pvt Ltd (GridMats), October 2026</t>
  </si>
  <si>
    <t xml:space="preserve">Scenario shown</t>
  </si>
  <si>
    <t xml:space="preserve">Change it on the Inputs sheet (cell C3)</t>
  </si>
  <si>
    <t xml:space="preserve">Headline results</t>
  </si>
  <si>
    <t xml:space="preserve">Measure</t>
  </si>
  <si>
    <t xml:space="preserve">Value</t>
  </si>
  <si>
    <t xml:space="preserve">Where</t>
  </si>
  <si>
    <t xml:space="preserve">Solar-park roads, per 100 MW block</t>
  </si>
  <si>
    <t xml:space="preserve">NPV to Reliance over 25 years (₹ Cr)</t>
  </si>
  <si>
    <t xml:space="preserve">Solar Park 100MW</t>
  </si>
  <si>
    <t xml:space="preserve">Up-front GridMats premium (₹ Cr)</t>
  </si>
  <si>
    <t xml:space="preserve">Premium as % of solar plant capex</t>
  </si>
  <si>
    <t xml:space="preserve">IRR on the premium</t>
  </si>
  <si>
    <t xml:space="preserve">Simple payback (years)</t>
  </si>
  <si>
    <t xml:space="preserve">NPV, conservative case (₹ Cr)</t>
  </si>
  <si>
    <t xml:space="preserve">Sensitivity</t>
  </si>
  <si>
    <t xml:space="preserve">NPV, optimistic case (₹ Cr)</t>
  </si>
  <si>
    <t xml:space="preserve">25-year cost per m²</t>
  </si>
  <si>
    <t xml:space="preserve">O&amp;M tracks: GridMats S2 saving vs WBM</t>
  </si>
  <si>
    <t xml:space="preserve">Road LCC</t>
  </si>
  <si>
    <t xml:space="preserve">Main roads: GridMats S1 saving vs bituminous</t>
  </si>
  <si>
    <t xml:space="preserve">Main roads: GridMats S1 saving vs concrete</t>
  </si>
  <si>
    <t xml:space="preserve">GridMats Solar Walkway, per m²</t>
  </si>
  <si>
    <t xml:space="preserve">Pilot site</t>
  </si>
  <si>
    <t xml:space="preserve">Inputs</t>
  </si>
  <si>
    <t xml:space="preserve">Year-1 electricity bill saved (₹ / m²)</t>
  </si>
  <si>
    <t xml:space="preserve">Solar Walkway</t>
  </si>
  <si>
    <t xml:space="preserve">IRR after tax with accelerated depreciation</t>
  </si>
  <si>
    <t xml:space="preserve">Pilot offer</t>
  </si>
  <si>
    <t xml:space="preserve">Reliance pays GridMats (ex-GST)</t>
  </si>
  <si>
    <t xml:space="preserve">Pilot Offer</t>
  </si>
  <si>
    <t xml:space="preserve">GridMats contribution (value given)</t>
  </si>
  <si>
    <t xml:space="preserve">Grid price reduction vs the 2025 Kutch trial</t>
  </si>
  <si>
    <t xml:space="preserve">Sustainability per 100 MW block</t>
  </si>
  <si>
    <t xml:space="preserve">Recycled PP put to use (t)</t>
  </si>
  <si>
    <t xml:space="preserve">Sustainability</t>
  </si>
  <si>
    <t xml:space="preserve">CO2e avoided over 25 years (t)</t>
  </si>
  <si>
    <t xml:space="preserve">How to read this model</t>
  </si>
  <si>
    <t xml:space="preserve">1. Blue cells are inputs, yellow-filled blue cells are key assumptions, black cells are formulas, green cells link to other sheets.</t>
  </si>
  <si>
    <t xml:space="preserve">2. All money is in Indian rupees, excluding GST, at 2026 prices, escalated and discounted as set on the Inputs sheet.</t>
  </si>
  <si>
    <t xml:space="preserve">3. The road comparison uses one solar block (default 100 MWp) with 10 km of internal road: 30% main roads (GridMats S1 instead of bituminous or concrete) and 70% O&amp;M tracks (GridMats S2 instead of WBM).</t>
  </si>
  <si>
    <t xml:space="preserve">4. GridMats costs more than WBM on day one. The model shows where that premium is earned back: avoided regrading and regravelling, less dust on modules, and carbon.</t>
  </si>
  <si>
    <t xml:space="preserve">5. The GridMats Solar Walkway is at pilot stage. Its yield, life and upkeep are assumptions; the pilot measures them.</t>
  </si>
  <si>
    <t xml:space="preserve">6. Sources are listed on the Sources sheet and next to every input.</t>
  </si>
  <si>
    <t xml:space="preserve">Inputs and assumptions</t>
  </si>
  <si>
    <t xml:space="preserve">Blue = input you can change · yellow fill = key assumption · black = formula. All money ex-GST, 2026 prices.</t>
  </si>
  <si>
    <t xml:space="preserve">Scenario used across the model</t>
  </si>
  <si>
    <t xml:space="preserve">Base</t>
  </si>
  <si>
    <t xml:space="preserve">← choose Conservative, Base or Optimistic</t>
  </si>
  <si>
    <t xml:space="preserve">Scenario index</t>
  </si>
  <si>
    <t xml:space="preserve">Assumption</t>
  </si>
  <si>
    <t xml:space="preserve">Unit</t>
  </si>
  <si>
    <t xml:space="preserve">Value used</t>
  </si>
  <si>
    <t xml:space="preserve">Conservative</t>
  </si>
  <si>
    <t xml:space="preserve">Optimistic</t>
  </si>
  <si>
    <t xml:space="preserve">Source / basis</t>
  </si>
  <si>
    <t xml:space="preserve">1. General</t>
  </si>
  <si>
    <t xml:space="preserve">Discount rate (nominal, pre-tax)</t>
  </si>
  <si>
    <t xml:space="preserve">%</t>
  </si>
  <si>
    <t xml:space="preserve">Assumption: indicative large-corporate cost of capital. Sensitivity sheet shows 8% and 12%.</t>
  </si>
  <si>
    <t xml:space="preserve">Escalation of civil and upkeep costs</t>
  </si>
  <si>
    <t xml:space="preserve">% / yr</t>
  </si>
  <si>
    <t xml:space="preserve">Assumption (close to Indian CPI).</t>
  </si>
  <si>
    <t xml:space="preserve">Corporate income-tax rate</t>
  </si>
  <si>
    <t xml:space="preserve">Section 115BAA rate incl. surcharge and cess. Used only in the walkway after-tax view.</t>
  </si>
  <si>
    <t xml:space="preserve">Carbon value</t>
  </si>
  <si>
    <t xml:space="preserve">₹ / t CO2e</t>
  </si>
  <si>
    <t xml:space="preserve">India CCTS: first carbon credit certificate trades expected around Oct 2026; expected ₹250-1,500/t, scenario studies ₹400-900/t (reclimatize.in, 2026).</t>
  </si>
  <si>
    <t xml:space="preserve">Carbon value escalation</t>
  </si>
  <si>
    <t xml:space="preserve">Assumption.</t>
  </si>
  <si>
    <t xml:space="preserve">India grid emission factor</t>
  </si>
  <si>
    <t xml:space="preserve">t CO2 / MWh</t>
  </si>
  <si>
    <t xml:space="preserve">CEA CO2 Baseline Database v21.0 (FY2024-25), weighted average.</t>
  </si>
  <si>
    <t xml:space="preserve">2. Solar park block (Kutch region)</t>
  </si>
  <si>
    <t xml:space="preserve">Solar block size used for comparison</t>
  </si>
  <si>
    <t xml:space="preserve">MWp</t>
  </si>
  <si>
    <t xml:space="preserve">Basis of comparison.</t>
  </si>
  <si>
    <t xml:space="preserve">Solar plant capex (for context only)</t>
  </si>
  <si>
    <t xml:space="preserve">₹ Cr / MW</t>
  </si>
  <si>
    <t xml:space="preserve">Utility-scale benchmark ₹3.5-4.5 Cr/MW (greentechlead, 2026).</t>
  </si>
  <si>
    <t xml:space="preserve">Specific yield, Kutch region</t>
  </si>
  <si>
    <t xml:space="preserve">kWh / kWp / yr</t>
  </si>
  <si>
    <t xml:space="preserve">Gujarat plant 1,872 kWh/kWp at 21.3% CUF; Kutch plane-of-array irradiance 2,100-2,350 kWh/m²/yr.</t>
  </si>
  <si>
    <t xml:space="preserve">Module degradation</t>
  </si>
  <si>
    <t xml:space="preserve">TOPCon datasheets 0.4%/yr after year 1; Reliance HJT 0.3%/yr (company claim).</t>
  </si>
  <si>
    <t xml:space="preserve">Value of each extra kWh generated</t>
  </si>
  <si>
    <t xml:space="preserve">₹ / kWh</t>
  </si>
  <si>
    <t xml:space="preserve">Solar PPA ₹2.52-2.61 (NHPC/NTPC); solar + storage ₹2.86-2.87 (SECI ISTS-XX, Oct 2025). Conservative: captive value to Reliance is higher.</t>
  </si>
  <si>
    <t xml:space="preserve">Energy value escalation</t>
  </si>
  <si>
    <t xml:space="preserve">Flat, PPA-style.</t>
  </si>
  <si>
    <t xml:space="preserve">Internal road per 100 MW</t>
  </si>
  <si>
    <t xml:space="preserve">km</t>
  </si>
  <si>
    <t xml:space="preserve">GridMats solar and wind parks flier: 8-12 km per 100 MW. Independent estimate 0.1-0.2 km/MW.</t>
  </si>
  <si>
    <t xml:space="preserve">Share of road length that is main / spine / inverter-yard road</t>
  </si>
  <si>
    <t xml:space="preserve">Main road width</t>
  </si>
  <si>
    <t xml:space="preserve">m</t>
  </si>
  <si>
    <t xml:space="preserve">GridMats per-km park rate covers 5-7 m roads; Pavagada DPR uses 8.5 m and 4.5 m.</t>
  </si>
  <si>
    <t xml:space="preserve">O&amp;M track width</t>
  </si>
  <si>
    <t xml:space="preserve">Pavagada DPR 4.5 m; NTPC tenders 3.75 m WBM.</t>
  </si>
  <si>
    <t xml:space="preserve">Conventional main-road surface it replaces</t>
  </si>
  <si>
    <t xml:space="preserve">choice</t>
  </si>
  <si>
    <t xml:space="preserve">Bituminous</t>
  </si>
  <si>
    <t xml:space="preserve">Choose Bituminous (default, conservative) or PQC. O&amp;M tracks are compared with WBM / gravel.</t>
  </si>
  <si>
    <t xml:space="preserve">Average yearly energy lost to module soiling, with routine cleaning</t>
  </si>
  <si>
    <t xml:space="preserve">% of yield</t>
  </si>
  <si>
    <t xml:space="preserve">West-India dry-season soiling 0.3-0.5%/day (Gandhinagar 0.37%/day); pv-magazine India uses a 3% example (Apr 2026). Assumption.</t>
  </si>
  <si>
    <t xml:space="preserve">Share of that soiling caused by traffic dust from unpaved O&amp;M tracks</t>
  </si>
  <si>
    <t xml:space="preserve">Assumption. Univ. of Johannesburg (2025) measured PV soiling highest next to a gravel road, falling with distance. The pilot measures this.</t>
  </si>
  <si>
    <t xml:space="preserve">Dust cut by GridMats S2 (graded chips confined in cells) vs WBM</t>
  </si>
  <si>
    <t xml:space="preserve">Assumption: 8-12 mm graded chips, no fines, held in cells. Pilot KPI.</t>
  </si>
  <si>
    <t xml:space="preserve">Module cleaning cost</t>
  </si>
  <si>
    <t xml:space="preserve">₹ lakh / MW / yr</t>
  </si>
  <si>
    <t xml:space="preserve">Robotic about ₹1 lakh/MW/yr; manual up to ₹7.5 lakh/MW/yr (Renewable Watch, 2023).</t>
  </si>
  <si>
    <t xml:space="preserve">Cleaning cost avoided through fewer cycles</t>
  </si>
  <si>
    <t xml:space="preserve">Optimistic case only, so it is not double-counted with the energy gain.</t>
  </si>
  <si>
    <t xml:space="preserve">Earlier energisation from all-weather access</t>
  </si>
  <si>
    <t xml:space="preserve">days</t>
  </si>
  <si>
    <t xml:space="preserve">Optimistic case only.</t>
  </si>
  <si>
    <t xml:space="preserve">Years of heavy construction traffic needing dust suppression</t>
  </si>
  <si>
    <t xml:space="preserve">years</t>
  </si>
  <si>
    <t xml:space="preserve">Dust suppression on WBM (water tanker + water)</t>
  </si>
  <si>
    <t xml:space="preserve">₹ / m² / yr</t>
  </si>
  <si>
    <t xml:space="preserve">Assumption: about ₹4,000 a day per tanker covering ~13,500 m², 250 days a year.</t>
  </si>
  <si>
    <t xml:space="preserve">Sprinkling water on WBM</t>
  </si>
  <si>
    <t xml:space="preserve">L / m² / day</t>
  </si>
  <si>
    <t xml:space="preserve">Sprinkling days per year</t>
  </si>
  <si>
    <t xml:space="preserve">Annual rainfall, Kutch / Patan</t>
  </si>
  <si>
    <t xml:space="preserve">mm</t>
  </si>
  <si>
    <t xml:space="preserve">Assumption: Kutch district normal about 350-450 mm.</t>
  </si>
  <si>
    <t xml:space="preserve">Share of rain returned to ground on permeable S2</t>
  </si>
  <si>
    <t xml:space="preserve">GridMats Design Engine factor.</t>
  </si>
  <si>
    <t xml:space="preserve">3. Conventional surfaces, build cost (₹ / m², ex-GST)</t>
  </si>
  <si>
    <t xml:space="preserve">WBM / gravel road (GSB 150 + WBM 150)</t>
  </si>
  <si>
    <t xml:space="preserve">₹ / m²</t>
  </si>
  <si>
    <t xml:space="preserve">Tamil Nadu G.O. (2021-22) single-layer WBM ₹21.99 lakh/km, about ₹590/m²; GridMats sales pitch ₹250-500/m² (surface only).</t>
  </si>
  <si>
    <t xml:space="preserve">Bituminous road, IRC:37</t>
  </si>
  <si>
    <t xml:space="preserve">CPWD DSR 2023 internal road (GSB 225 + WBM 200 + BM 50 + BC 40) about ₹2,050/m²; GridMats pitch ₹1,500-1,900/m².</t>
  </si>
  <si>
    <t xml:space="preserve">Concrete road, IRC:58 (PQC + DLC)</t>
  </si>
  <si>
    <t xml:space="preserve">GridMats pitch ₹2,900-3,200/m²; Design Engine 73 (280 mm PQC) ₹3,561/m²; CPWD-derived ₹4,020/m².</t>
  </si>
  <si>
    <t xml:space="preserve">Paver-block walkway (avoided by a solar walkway)</t>
  </si>
  <si>
    <t xml:space="preserve">Paver blocks 60-80 mm ₹900-1,300/m² (GridMats pitch); ₹548-1,374/m² (Infralens, 2026).</t>
  </si>
  <si>
    <t xml:space="preserve">4. Upkeep (today's ₹ / m², escalated in the model)</t>
  </si>
  <si>
    <t xml:space="preserve">WBM: post-monsoon regrading, rut and pothole fill</t>
  </si>
  <si>
    <t xml:space="preserve">Assumption (about ₹1.8 lakh/km/yr on a 4.5 m track). GridMats pitch: 'regrade every monsoon'.</t>
  </si>
  <si>
    <t xml:space="preserve">WBM: regravelling</t>
  </si>
  <si>
    <t xml:space="preserve">₹ / m² / event</t>
  </si>
  <si>
    <t xml:space="preserve">Assumption, about 40% of build cost.</t>
  </si>
  <si>
    <t xml:space="preserve">WBM: regravelling interval</t>
  </si>
  <si>
    <t xml:space="preserve">Regravelling every 4-7 years (TRL / World Bank road-cost data).</t>
  </si>
  <si>
    <t xml:space="preserve">Bituminous: routine maintenance</t>
  </si>
  <si>
    <t xml:space="preserve">IRC:82 routine maintenance ₹0.5-1.5 lakh/km/yr.</t>
  </si>
  <si>
    <t xml:space="preserve">Bituminous: 40 mm BC renewal</t>
  </si>
  <si>
    <t xml:space="preserve">Bituminous: renewal interval</t>
  </si>
  <si>
    <t xml:space="preserve">IRC:82 renewal every 4-6 years; GridMats pitch 3-5 years.</t>
  </si>
  <si>
    <t xml:space="preserve">Concrete: routine maintenance</t>
  </si>
  <si>
    <t xml:space="preserve">Concrete: joint reseal, grinding, slab repairs</t>
  </si>
  <si>
    <t xml:space="preserve">Design Engine 73 lifecycle (repairs at years 10, 20, 30).</t>
  </si>
  <si>
    <t xml:space="preserve">Concrete: repair interval</t>
  </si>
  <si>
    <t xml:space="preserve">Design Engine 73 lifecycle.</t>
  </si>
  <si>
    <t xml:space="preserve">GridMats: routine upkeep</t>
  </si>
  <si>
    <t xml:space="preserve">% of build cost / yr</t>
  </si>
  <si>
    <t xml:space="preserve">Design Engine 73 lifecycle method (0.5% a year).</t>
  </si>
  <si>
    <t xml:space="preserve">GridMats S1: chip-and-cement top-up</t>
  </si>
  <si>
    <t xml:space="preserve">GridMats SOP: top-up at years 10, 20, 30.</t>
  </si>
  <si>
    <t xml:space="preserve">GridMats S1: top-up interval</t>
  </si>
  <si>
    <t xml:space="preserve">GridMats SOP.</t>
  </si>
  <si>
    <t xml:space="preserve">GridMats S2: chip top-up</t>
  </si>
  <si>
    <t xml:space="preserve">Assumption: about 10 L/m² of chips plus labour.</t>
  </si>
  <si>
    <t xml:space="preserve">GridMats S2: chip top-up interval</t>
  </si>
  <si>
    <t xml:space="preserve">Assumption (top-up visit at 6 months is included in the build).</t>
  </si>
  <si>
    <t xml:space="preserve">5. GridMats rates and factors</t>
  </si>
  <si>
    <t xml:space="preserve">GridMats OC-HD 40, park / annual-contract rate</t>
  </si>
  <si>
    <t xml:space="preserve">GridMats price ladder (25 Sep 2026): ₹900/m² above 25,000 m² or on a 12-month rate contract; ₹935 at 5,000-25,000 m².</t>
  </si>
  <si>
    <t xml:space="preserve">GridMats OC-LW 40, annual rate</t>
  </si>
  <si>
    <t xml:space="preserve">GridMats price ladder (25 Sep 2026).</t>
  </si>
  <si>
    <t xml:space="preserve">GridMats OC-LW 40, under 1,000 m²</t>
  </si>
  <si>
    <t xml:space="preserve">Geotextile, 200 gsm non-woven</t>
  </si>
  <si>
    <t xml:space="preserve">As supplied to Reliance in 2025.</t>
  </si>
  <si>
    <t xml:space="preserve">Freight, factory to Kutch site</t>
  </si>
  <si>
    <t xml:space="preserve">Design Engine BoQ indicative; at cost.</t>
  </si>
  <si>
    <t xml:space="preserve">Grid laying labour</t>
  </si>
  <si>
    <t xml:space="preserve">Design Engine 73 BoQ.</t>
  </si>
  <si>
    <t xml:space="preserve">U-nail (8 mm bar)</t>
  </si>
  <si>
    <t xml:space="preserve">₹ each</t>
  </si>
  <si>
    <t xml:space="preserve">U-nails per m² on roads</t>
  </si>
  <si>
    <t xml:space="preserve">nos / m²</t>
  </si>
  <si>
    <t xml:space="preserve">GridMats SOP: one per 2-3 m² on roads and slopes.</t>
  </si>
  <si>
    <t xml:space="preserve">Subgrade preparation</t>
  </si>
  <si>
    <t xml:space="preserve">Design Engine 73 BoQ (Bengaluru 2026 rates).</t>
  </si>
  <si>
    <t xml:space="preserve">GSB (MoRTH 401)</t>
  </si>
  <si>
    <t xml:space="preserve">₹ / m³</t>
  </si>
  <si>
    <t xml:space="preserve">Open-graded GSB</t>
  </si>
  <si>
    <t xml:space="preserve">WMM (MoRTH 406)</t>
  </si>
  <si>
    <t xml:space="preserve">M-sand / crusher-dust bedding</t>
  </si>
  <si>
    <t xml:space="preserve">6-12 mm stone chips (loose)</t>
  </si>
  <si>
    <t xml:space="preserve">GridMats sample proposal (Design Engine 73).</t>
  </si>
  <si>
    <t xml:space="preserve">S1 cement-treated gravel infill (chips, cement, mix, place, cure)</t>
  </si>
  <si>
    <t xml:space="preserve">Design Engine 73 BoQ, internal road: ₹7.58 lakh for 3,000 m².</t>
  </si>
  <si>
    <t xml:space="preserve">S1 edges and drains</t>
  </si>
  <si>
    <t xml:space="preserve">Design Engine 73 BoQ, internal road.</t>
  </si>
  <si>
    <t xml:space="preserve">S2 / walkway edges</t>
  </si>
  <si>
    <t xml:space="preserve">GridMats sample proposal.</t>
  </si>
  <si>
    <t xml:space="preserve">Recycled PP in OC-HD 40</t>
  </si>
  <si>
    <t xml:space="preserve">kg / m²</t>
  </si>
  <si>
    <t xml:space="preserve">GridMats master data: 1.7 kg per panel, 3.9 panels/m².</t>
  </si>
  <si>
    <t xml:space="preserve">Recycled PP in OC-LW 40</t>
  </si>
  <si>
    <t xml:space="preserve">GridMats master data.</t>
  </si>
  <si>
    <t xml:space="preserve">CO2e saved per kg of recycled PP used</t>
  </si>
  <si>
    <t xml:space="preserve">kg CO2e / kg</t>
  </si>
  <si>
    <t xml:space="preserve">Cement emission factor</t>
  </si>
  <si>
    <t xml:space="preserve">t CO2e / t</t>
  </si>
  <si>
    <t xml:space="preserve">GridMats Design Engine; India average 0.66-0.68.</t>
  </si>
  <si>
    <t xml:space="preserve">Cement in a PQC 220 + DLC 150 road</t>
  </si>
  <si>
    <t xml:space="preserve">GridMats sales pitch.</t>
  </si>
  <si>
    <t xml:space="preserve">Cement in GridMats S1</t>
  </si>
  <si>
    <t xml:space="preserve">GridMats sales pitch (3.7 t per 1,000 m²).</t>
  </si>
  <si>
    <t xml:space="preserve">Bitumen binder emission factor</t>
  </si>
  <si>
    <t xml:space="preserve">Hot-mix production emissions</t>
  </si>
  <si>
    <t xml:space="preserve">kg CO2e / t mix</t>
  </si>
  <si>
    <t xml:space="preserve">Bituminous layers BM 50 + BC 40 mm</t>
  </si>
  <si>
    <t xml:space="preserve">t mix / m²</t>
  </si>
  <si>
    <t xml:space="preserve">Derived: 90 mm × 2.35 t/m³.</t>
  </si>
  <si>
    <t xml:space="preserve">Bitumen binder in those layers</t>
  </si>
  <si>
    <t xml:space="preserve">Derived: about 5% binder by weight.</t>
  </si>
  <si>
    <t xml:space="preserve">40 mm BC renewal</t>
  </si>
  <si>
    <t xml:space="preserve">Derived: 40 mm × 2.35 t/m³.</t>
  </si>
  <si>
    <t xml:space="preserve">Binder in a 40 mm BC renewal</t>
  </si>
  <si>
    <t xml:space="preserve">6. GridMats Solar Walkway (pre-commercial: the pilot measures these)</t>
  </si>
  <si>
    <t xml:space="preserve">Walkway pilot site</t>
  </si>
  <si>
    <t xml:space="preserve">Navi Mumbai</t>
  </si>
  <si>
    <t xml:space="preserve">Navi Mumbai = Reliance Corporate Park (higher power cost, most visible). Jamnagar = Giga Complex. Both are shown on the Solar Walkway sheet.</t>
  </si>
  <si>
    <t xml:space="preserve">Rated power of the walkway</t>
  </si>
  <si>
    <t xml:space="preserve">W / m²</t>
  </si>
  <si>
    <t xml:space="preserve">GridMats Solar Walkway flier (6 Oct 2026): 40 W per module, one on each grid, 4 grids per m².</t>
  </si>
  <si>
    <t xml:space="preserve">Yield, flat walk-on modules, Jamnagar</t>
  </si>
  <si>
    <t xml:space="preserve">Assumption: about 20% below a tilted Gujarat rooftop (~1,650) for flat mounting, heat and foot-traffic soiling.</t>
  </si>
  <si>
    <t xml:space="preserve">Yield, flat walk-on modules, Navi Mumbai</t>
  </si>
  <si>
    <t xml:space="preserve">Assumption: Mumbai rooftop 1,420-1,520 kWh/kWp, derated about 20%.</t>
  </si>
  <si>
    <t xml:space="preserve">Yield scenario multiplier</t>
  </si>
  <si>
    <t xml:space="preserve">×</t>
  </si>
  <si>
    <t xml:space="preserve">Scenario range on the yield above.</t>
  </si>
  <si>
    <t xml:space="preserve">Grid power cost avoided, Jamnagar (HT, landed)</t>
  </si>
  <si>
    <t xml:space="preserve">GERC FY27: HT energy charge ₹4.30/kWh plus fuel surcharge and duty; landed about ₹7.5-8.5 (estimate).</t>
  </si>
  <si>
    <t xml:space="preserve">Grid power cost avoided, Navi Mumbai (HT commercial, landed)</t>
  </si>
  <si>
    <t xml:space="preserve">MERC FY27: HT-II commercial ₹13.72/kVAh; HT-I industrial ₹8.44/kVAh.</t>
  </si>
  <si>
    <t xml:space="preserve">Power tariff escalation</t>
  </si>
  <si>
    <t xml:space="preserve">Walkway module degradation</t>
  </si>
  <si>
    <t xml:space="preserve">Assumption (higher than ground-mount for walk-on use).</t>
  </si>
  <si>
    <t xml:space="preserve">Walkway module life</t>
  </si>
  <si>
    <t xml:space="preserve">Assumption; the pilot validates durability.</t>
  </si>
  <si>
    <t xml:space="preserve">Walkable PV layer (modules + MLP lumber with wiring)</t>
  </si>
  <si>
    <t xml:space="preserve">GridMats Solar pilot quote, Oct 2026: walkable module about ₹9,500/m².</t>
  </si>
  <si>
    <t xml:space="preserve">Inverter, cabling, protection, metering</t>
  </si>
  <si>
    <t xml:space="preserve">₹ / kWp</t>
  </si>
  <si>
    <t xml:space="preserve">Walkway cleaning and inspection</t>
  </si>
  <si>
    <t xml:space="preserve">Inverter replacement</t>
  </si>
  <si>
    <t xml:space="preserve">Inverter replacement year</t>
  </si>
  <si>
    <t xml:space="preserve">year</t>
  </si>
  <si>
    <t xml:space="preserve">Accelerated depreciation on solar (WDV)</t>
  </si>
  <si>
    <t xml:space="preserve">Income-tax Act: 40% WDV for solar plant.</t>
  </si>
  <si>
    <t xml:space="preserve">Benchmark: C&amp;I rooftop solar</t>
  </si>
  <si>
    <t xml:space="preserve">C&amp;I rooftop turnkey ₹36-44/Wp (2026).</t>
  </si>
  <si>
    <t xml:space="preserve">Benchmark: solar carport</t>
  </si>
  <si>
    <t xml:space="preserve">Commercial carports ₹40,000-60,000/kW (2026).</t>
  </si>
  <si>
    <t xml:space="preserve">7. Pilot (Reliance)</t>
  </si>
  <si>
    <t xml:space="preserve">Pilot main road, GridMats S1</t>
  </si>
  <si>
    <t xml:space="preserve">Proposed pilot scope.</t>
  </si>
  <si>
    <t xml:space="preserve">Pilot O&amp;M track, GridMats S2</t>
  </si>
  <si>
    <t xml:space="preserve">Pilot GridMats Solar Walkway</t>
  </si>
  <si>
    <t xml:space="preserve">m²</t>
  </si>
  <si>
    <t xml:space="preserve">List price OC-HD 40 at pilot size (5,000-25,000 m²)</t>
  </si>
  <si>
    <t xml:space="preserve">Pilot offer price OC-HD 40</t>
  </si>
  <si>
    <t xml:space="preserve">Proposed: annual-contract rate at pilot size.</t>
  </si>
  <si>
    <t xml:space="preserve">OC-HD 40 price on the 2025 Kutch trial</t>
  </si>
  <si>
    <t xml:space="preserve">Reliance PO, Sep 2025.</t>
  </si>
  <si>
    <t xml:space="preserve">Grid laid per crew-day</t>
  </si>
  <si>
    <t xml:space="preserve">m² / day</t>
  </si>
  <si>
    <t xml:space="preserve">GridMats systems manual: 300-400 m² per crew of four.</t>
  </si>
  <si>
    <t xml:space="preserve">Supervisor man-day rate</t>
  </si>
  <si>
    <t xml:space="preserve">₹ / day</t>
  </si>
  <si>
    <t xml:space="preserve">GridMats standard rate.</t>
  </si>
  <si>
    <t xml:space="preserve">Supervisor travel and stay for the full build</t>
  </si>
  <si>
    <t xml:space="preserve">₹</t>
  </si>
  <si>
    <t xml:space="preserve">Estimate; normally paid by the client.</t>
  </si>
  <si>
    <t xml:space="preserve">Site design (IITPAVE on site CBR), BoQ, method statement, hold-point QC</t>
  </si>
  <si>
    <t xml:space="preserve">Estimate of value; included.</t>
  </si>
  <si>
    <t xml:space="preserve">IoT sensors + live dashboard + soiling study + 6/12-month reports</t>
  </si>
  <si>
    <t xml:space="preserve">Estimate of value; offered free.</t>
  </si>
  <si>
    <t xml:space="preserve">GridMats co-funding of the solar walkway (PV layer + inverter)</t>
  </si>
  <si>
    <t xml:space="preserve">Proposed.</t>
  </si>
  <si>
    <t xml:space="preserve">Pilot grid value credited against the first order of 25,000 m² or more</t>
  </si>
  <si>
    <t xml:space="preserve">Year-end rebate above 50,000 m² on a rate contract</t>
  </si>
  <si>
    <t xml:space="preserve">GridMats annual rate contract terms.</t>
  </si>
  <si>
    <t xml:space="preserve">Grid per 40-ft high-cube container</t>
  </si>
  <si>
    <t xml:space="preserve">GridMats master data (OC-HD 40).</t>
  </si>
  <si>
    <t xml:space="preserve">Unit rates: build-up of installed cost (₹ / m², ex-GST)</t>
  </si>
  <si>
    <t xml:space="preserve">GridMats sections follow the GridMats base tables for Kutch's low-CBR (2-5%) saline ground. Blue quantities can be edited.</t>
  </si>
  <si>
    <t xml:space="preserve">GridMats S1: cement-treated gravel, main / spine roads and inverter yards (load class D, CBR 2-5%)</t>
  </si>
  <si>
    <t xml:space="preserve">Item</t>
  </si>
  <si>
    <t xml:space="preserve">Quantity / m²</t>
  </si>
  <si>
    <t xml:space="preserve">Rate (₹)</t>
  </si>
  <si>
    <t xml:space="preserve">Basis</t>
  </si>
  <si>
    <t xml:space="preserve">Compact to 98% MDD</t>
  </si>
  <si>
    <t xml:space="preserve">GSB 200 mm</t>
  </si>
  <si>
    <t xml:space="preserve">m³</t>
  </si>
  <si>
    <t xml:space="preserve">Base table, load class D, CBR 2-5%</t>
  </si>
  <si>
    <t xml:space="preserve">WMM 150 mm</t>
  </si>
  <si>
    <t xml:space="preserve">Base table, load class D</t>
  </si>
  <si>
    <t xml:space="preserve">Bedding 25 mm M-sand / crusher dust</t>
  </si>
  <si>
    <t xml:space="preserve">Geotextile 200 gsm</t>
  </si>
  <si>
    <t xml:space="preserve">Separator on saline formation</t>
  </si>
  <si>
    <t xml:space="preserve">GridMats OC-HD 40</t>
  </si>
  <si>
    <t xml:space="preserve">Park / annual-contract rate</t>
  </si>
  <si>
    <t xml:space="preserve">Freight to site</t>
  </si>
  <si>
    <t xml:space="preserve">At cost</t>
  </si>
  <si>
    <t xml:space="preserve">Built by teams GridMats trains</t>
  </si>
  <si>
    <t xml:space="preserve">U-nails</t>
  </si>
  <si>
    <t xml:space="preserve">nos</t>
  </si>
  <si>
    <t xml:space="preserve">1 per 2-3 m²</t>
  </si>
  <si>
    <t xml:space="preserve">Cement-treated gravel infill</t>
  </si>
  <si>
    <t xml:space="preserve">Opens to trucks at 7 days (7-day cubes 2 MPa)</t>
  </si>
  <si>
    <t xml:space="preserve">Edges and drains</t>
  </si>
  <si>
    <t xml:space="preserve">Installed cost</t>
  </si>
  <si>
    <t xml:space="preserve">Compare: GridMats indicative ₹1,400-1,900/m²; Design Engine 73 internal road ₹2,011/m².</t>
  </si>
  <si>
    <t xml:space="preserve">GridMats S2: permeable stone chip, O&amp;M tracks (load class C, CBR 2-5%) - as built at Kutch in 2025</t>
  </si>
  <si>
    <t xml:space="preserve">GSB 100 mm</t>
  </si>
  <si>
    <t xml:space="preserve">Base table, load class C, CBR 2-5%</t>
  </si>
  <si>
    <t xml:space="preserve">Base table, load class C</t>
  </si>
  <si>
    <t xml:space="preserve">Bedding 20 mm</t>
  </si>
  <si>
    <t xml:space="preserve">8-12 mm stone-chip infill (about 37 L/m²)</t>
  </si>
  <si>
    <t xml:space="preserve">Opens the same day it is filled</t>
  </si>
  <si>
    <t xml:space="preserve">Edges</t>
  </si>
  <si>
    <t xml:space="preserve">Compare: GridMats recorded S2 range ₹1,434-1,866/m².</t>
  </si>
  <si>
    <t xml:space="preserve">Variant: S2 with lighter OC-LW 40 (cars and LCVs only)</t>
  </si>
  <si>
    <t xml:space="preserve">For tracks without trucks or water tankers. Not used in the base case.</t>
  </si>
  <si>
    <t xml:space="preserve">GridMats Solar Walkway: base and PV layer (per m² of walkway)</t>
  </si>
  <si>
    <t xml:space="preserve">Open-graded GSB 100 mm</t>
  </si>
  <si>
    <t xml:space="preserve">Drains through</t>
  </si>
  <si>
    <t xml:space="preserve">GridMats OC-LW 40 (500 × 500 mm, 4 per m²)</t>
  </si>
  <si>
    <t xml:space="preserve">Under-1,000 m² price</t>
  </si>
  <si>
    <t xml:space="preserve">Freight</t>
  </si>
  <si>
    <t xml:space="preserve">GridMats structural base of the walkway.</t>
  </si>
  <si>
    <t xml:space="preserve">Walkable PV layer (modules + MLP lumber carrying the wiring)</t>
  </si>
  <si>
    <t xml:space="preserve">₹/kWp × kWp per m²</t>
  </si>
  <si>
    <t xml:space="preserve">Solar walkway, installed</t>
  </si>
  <si>
    <t xml:space="preserve">Cost of the solar part per kWp</t>
  </si>
  <si>
    <t xml:space="preserve">Compare: C&amp;I rooftop ₹40,000/kWp; solar carport ₹40,000-60,000/kWp.</t>
  </si>
  <si>
    <t xml:space="preserve">Conventional surfaces (from Inputs)</t>
  </si>
  <si>
    <t xml:space="preserve">Surface</t>
  </si>
  <si>
    <t xml:space="preserve">Typical section</t>
  </si>
  <si>
    <t xml:space="preserve">WBM / gravel road</t>
  </si>
  <si>
    <t xml:space="preserve">GSB 150 + WBM 150; regrade every monsoon</t>
  </si>
  <si>
    <t xml:space="preserve">GSB 225 + WBM 200 + BM 50 + BC 40</t>
  </si>
  <si>
    <t xml:space="preserve">Concrete road, IRC:58</t>
  </si>
  <si>
    <t xml:space="preserve">PQC 220 + DLC 150 (+ GSB); 14-28 days to open</t>
  </si>
  <si>
    <t xml:space="preserve">Paver-block walkway</t>
  </si>
  <si>
    <t xml:space="preserve">60-80 mm pavers on sand</t>
  </si>
  <si>
    <t xml:space="preserve">Road life-cycle cost per m² over 25 years</t>
  </si>
  <si>
    <t xml:space="preserve">₹ per m², nominal, escalated at the cost-escalation rate and discounted at the discount rate. Year 0 = build.</t>
  </si>
  <si>
    <t xml:space="preserve">Year</t>
  </si>
  <si>
    <t xml:space="preserve">PV</t>
  </si>
  <si>
    <t xml:space="preserve">Discount factor</t>
  </si>
  <si>
    <t xml:space="preserve">Cost index</t>
  </si>
  <si>
    <t xml:space="preserve">Build</t>
  </si>
  <si>
    <t xml:space="preserve">Routine regrading</t>
  </si>
  <si>
    <t xml:space="preserve">Regravelling</t>
  </si>
  <si>
    <t xml:space="preserve">Dust suppression (construction years)</t>
  </si>
  <si>
    <t xml:space="preserve">Total</t>
  </si>
  <si>
    <t xml:space="preserve">Routine maintenance</t>
  </si>
  <si>
    <t xml:space="preserve">BC renewal</t>
  </si>
  <si>
    <t xml:space="preserve">Joint reseal and slab repairs</t>
  </si>
  <si>
    <t xml:space="preserve">GridMats S1: cement-treated gravel</t>
  </si>
  <si>
    <t xml:space="preserve">Routine upkeep</t>
  </si>
  <si>
    <t xml:space="preserve">Chip-and-cement top-up</t>
  </si>
  <si>
    <t xml:space="preserve">GridMats S2: permeable stone chip</t>
  </si>
  <si>
    <t xml:space="preserve">Chip top-up</t>
  </si>
  <si>
    <t xml:space="preserve">Dust suppression (residual)</t>
  </si>
  <si>
    <t xml:space="preserve">Summary: 25-year life-cycle cost (present value, ₹ / m²)</t>
  </si>
  <si>
    <t xml:space="preserve">PV of upkeep</t>
  </si>
  <si>
    <t xml:space="preserve">25-yr LCC (PV)</t>
  </si>
  <si>
    <t xml:space="preserve">₹ / sq ft</t>
  </si>
  <si>
    <t xml:space="preserve">vs build</t>
  </si>
  <si>
    <t xml:space="preserve">WBM / gravel</t>
  </si>
  <si>
    <t xml:space="preserve">Bituminous, IRC:37</t>
  </si>
  <si>
    <t xml:space="preserve">Concrete, IRC:58</t>
  </si>
  <si>
    <t xml:space="preserve">GridMats S1</t>
  </si>
  <si>
    <t xml:space="preserve">GridMats S2</t>
  </si>
  <si>
    <t xml:space="preserve">Like-for-like comparisons (₹ / m²)</t>
  </si>
  <si>
    <t xml:space="preserve">Comparison</t>
  </si>
  <si>
    <t xml:space="preserve">Extra build cost</t>
  </si>
  <si>
    <t xml:space="preserve">Upkeep saved (PV)</t>
  </si>
  <si>
    <t xml:space="preserve">Net 25-yr saving</t>
  </si>
  <si>
    <t xml:space="preserve">Saving %</t>
  </si>
  <si>
    <t xml:space="preserve">O&amp;M tracks: GridMats S2 vs WBM</t>
  </si>
  <si>
    <t xml:space="preserve">Main roads: GridMats S1 vs bituminous</t>
  </si>
  <si>
    <t xml:space="preserve">Main roads: GridMats S1 vs concrete</t>
  </si>
  <si>
    <t xml:space="preserve">Solar park block: GridMats roads vs conventional roads</t>
  </si>
  <si>
    <t xml:space="preserve">Per solar block (default 100 MWp). ₹ lakh unless stated. Positive = benefit to Reliance. Scenario set on Inputs.</t>
  </si>
  <si>
    <t xml:space="preserve">Quantities</t>
  </si>
  <si>
    <t xml:space="preserve">Block size (MWp)</t>
  </si>
  <si>
    <t xml:space="preserve">Road length (km)</t>
  </si>
  <si>
    <t xml:space="preserve">Main roads, GridMats S1 (m²)</t>
  </si>
  <si>
    <t xml:space="preserve">O&amp;M tracks, GridMats S2 (m²)</t>
  </si>
  <si>
    <t xml:space="preserve">Total GridMats area (m²)</t>
  </si>
  <si>
    <t xml:space="preserve">Main roads would otherwise be</t>
  </si>
  <si>
    <t xml:space="preserve">PV / total</t>
  </si>
  <si>
    <t xml:space="preserve">Energy index (degradation × value escalation)</t>
  </si>
  <si>
    <t xml:space="preserve">Carbon value index</t>
  </si>
  <si>
    <t xml:space="preserve">Road costs (₹ lakh)</t>
  </si>
  <si>
    <t xml:space="preserve">Conventional main roads</t>
  </si>
  <si>
    <t xml:space="preserve">Conventional O&amp;M tracks (WBM)</t>
  </si>
  <si>
    <t xml:space="preserve">GridMats S1 main roads</t>
  </si>
  <si>
    <t xml:space="preserve">GridMats S2 O&amp;M tracks</t>
  </si>
  <si>
    <t xml:space="preserve">Road cost saving (conventional − GridMats)</t>
  </si>
  <si>
    <t xml:space="preserve">Energy, cleaning and carbon</t>
  </si>
  <si>
    <t xml:space="preserve">Extra energy from cleaner modules (MWh)</t>
  </si>
  <si>
    <t xml:space="preserve">Value of extra energy (₹ lakh)</t>
  </si>
  <si>
    <t xml:space="preserve">Module-cleaning cost avoided (₹ lakh)</t>
  </si>
  <si>
    <t xml:space="preserve">Earlier energisation (₹ lakh)</t>
  </si>
  <si>
    <t xml:space="preserve">CO2e avoided: plastic reuse and paving materials (t)</t>
  </si>
  <si>
    <t xml:space="preserve">CO2e avoided: extra renewable energy (t)</t>
  </si>
  <si>
    <t xml:space="preserve">Carbon value: materials (₹ lakh)</t>
  </si>
  <si>
    <t xml:space="preserve">Carbon value: extra energy (₹ lakh)</t>
  </si>
  <si>
    <t xml:space="preserve">NET BENEFIT TO RELIANCE (₹ lakh)</t>
  </si>
  <si>
    <t xml:space="preserve">Cumulative (₹ lakh)</t>
  </si>
  <si>
    <t xml:space="preserve">Results per block</t>
  </si>
  <si>
    <t xml:space="preserve">NPV over 25 years (₹ Cr)</t>
  </si>
  <si>
    <t xml:space="preserve">NPV per MW (₹ lakh)</t>
  </si>
  <si>
    <t xml:space="preserve">PV of road upkeep saved, years 1-25 (₹ Cr)</t>
  </si>
  <si>
    <t xml:space="preserve">PV of extra energy (₹ Cr)</t>
  </si>
  <si>
    <t xml:space="preserve">PV of cleaning saved (₹ Cr)</t>
  </si>
  <si>
    <t xml:space="preserve">PV of earlier energisation (₹ Cr)</t>
  </si>
  <si>
    <t xml:space="preserve">PV of carbon value (₹ Cr)</t>
  </si>
  <si>
    <t xml:space="preserve">Benefit-to-premium ratio</t>
  </si>
  <si>
    <t xml:space="preserve">NPV at 8% discount rate (₹ Cr)</t>
  </si>
  <si>
    <t xml:space="preserve">NPV at 12% discount rate (₹ Cr)</t>
  </si>
  <si>
    <t xml:space="preserve">Extra clean energy over 25 years (MWh)</t>
  </si>
  <si>
    <t xml:space="preserve">Recycled PP used (t)</t>
  </si>
  <si>
    <t xml:space="preserve">Road upkeep saved, years 1-25, undiscounted (₹ Cr)</t>
  </si>
  <si>
    <t xml:space="preserve">Scenario building blocks (used by the Sensitivity sheet)</t>
  </si>
  <si>
    <t xml:space="preserve">PV of road costs incl. build, per block (₹ Cr)</t>
  </si>
  <si>
    <t xml:space="preserve">PV of energy per unit dust share per ₹/kWh (₹ Cr)</t>
  </si>
  <si>
    <t xml:space="preserve">PV of cleaning per 100% saving (₹ Cr)</t>
  </si>
  <si>
    <t xml:space="preserve">PV of earlier energisation per day per ₹/kWh (₹ Cr)</t>
  </si>
  <si>
    <t xml:space="preserve">PV of materials carbon per ₹/t (₹ Cr)</t>
  </si>
  <si>
    <t xml:space="preserve">PV of energy carbon per unit dust share per ₹/t (₹ Cr)</t>
  </si>
  <si>
    <t xml:space="preserve">PV factor of escalating costs, years 1-25</t>
  </si>
  <si>
    <t xml:space="preserve">Check: rebuilt NPV − model NPV (should be 0)</t>
  </si>
  <si>
    <t xml:space="preserve">GridMats Solar Walkway: economics per m² of walkway</t>
  </si>
  <si>
    <t xml:space="preserve">Pre-commercial product. Rated power and price are from GridMats; yield and life are assumptions that the pilot will measure.</t>
  </si>
  <si>
    <t xml:space="preserve">Inputs in use</t>
  </si>
  <si>
    <t xml:space="preserve">Site</t>
  </si>
  <si>
    <t xml:space="preserve">Rated power (kWp per m²)</t>
  </si>
  <si>
    <t xml:space="preserve">Yield (kWh / kWp / yr)</t>
  </si>
  <si>
    <t xml:space="preserve">Grid power cost avoided (₹ / kWh, year 1)</t>
  </si>
  <si>
    <t xml:space="preserve">Solar walkway installed (₹ / m²)</t>
  </si>
  <si>
    <t xml:space="preserve">Less: paver walkway it replaces (₹ / m²)</t>
  </si>
  <si>
    <t xml:space="preserve">Extra investment for a generating walkway (₹ / m²)</t>
  </si>
  <si>
    <t xml:space="preserve">Depreciable solar part (₹ / m²)</t>
  </si>
  <si>
    <t xml:space="preserve">Generation (kWh per m²)</t>
  </si>
  <si>
    <t xml:space="preserve">Power cost avoided (₹ / kWh)</t>
  </si>
  <si>
    <t xml:space="preserve">Electricity bill saved (₹)</t>
  </si>
  <si>
    <t xml:space="preserve">Cleaning and inspection (₹)</t>
  </si>
  <si>
    <t xml:space="preserve">Inverter replacement (₹)</t>
  </si>
  <si>
    <t xml:space="preserve">Extra investment (₹)</t>
  </si>
  <si>
    <t xml:space="preserve">Net cash flow, pre-tax (₹)</t>
  </si>
  <si>
    <t xml:space="preserve">Cumulative (₹)</t>
  </si>
  <si>
    <t xml:space="preserve">Tax written-down value, opening (₹)</t>
  </si>
  <si>
    <t xml:space="preserve">Accelerated depreciation (₹)</t>
  </si>
  <si>
    <t xml:space="preserve">Net cash flow, after tax with accelerated depreciation (₹)</t>
  </si>
  <si>
    <t xml:space="preserve">Results per m² of walkway</t>
  </si>
  <si>
    <t xml:space="preserve">Year-1 generation (kWh / m²)</t>
  </si>
  <si>
    <t xml:space="preserve">NPV, pre-tax (₹ / m²)</t>
  </si>
  <si>
    <t xml:space="preserve">IRR, pre-tax</t>
  </si>
  <si>
    <t xml:space="preserve">IRR, after tax with 40% accelerated depreciation</t>
  </si>
  <si>
    <t xml:space="preserve">Levelised cost of the walkway's power (₹ / kWh)</t>
  </si>
  <si>
    <t xml:space="preserve">Lifetime generation (kWh / m²)</t>
  </si>
  <si>
    <t xml:space="preserve">Both sites side by side (simple payback on year-1 figures)</t>
  </si>
  <si>
    <t xml:space="preserve">Year-1 saving net of O&amp;M (₹ / m²)</t>
  </si>
  <si>
    <t xml:space="preserve">Simple payback (yrs)</t>
  </si>
  <si>
    <t xml:space="preserve">Jamnagar</t>
  </si>
  <si>
    <t xml:space="preserve">Cost per kWp compared</t>
  </si>
  <si>
    <t xml:space="preserve">GridMats Solar Walkway, solar part (₹ / kWp)</t>
  </si>
  <si>
    <t xml:space="preserve">C&amp;I rooftop solar (₹ / kWp)</t>
  </si>
  <si>
    <t xml:space="preserve">Solar carport (₹ / kWp)</t>
  </si>
  <si>
    <t xml:space="preserve">A walkway kWp costs more than a rooftop kWp. It earns its place where roofs are full or shaded and a walkway is needed anyway: it uses no extra land, roof or mounting.</t>
  </si>
  <si>
    <t xml:space="preserve">Pilot: GridMats Solar Walkway at the chosen site</t>
  </si>
  <si>
    <t xml:space="preserve">Area (m²)</t>
  </si>
  <si>
    <t xml:space="preserve">Rated power (kWp)</t>
  </si>
  <si>
    <t xml:space="preserve">Year-1 generation (kWh)</t>
  </si>
  <si>
    <t xml:space="preserve">Year-1 electricity bill saved (₹)</t>
  </si>
  <si>
    <t xml:space="preserve">Installed cost before GridMats co-funding (₹)</t>
  </si>
  <si>
    <t xml:space="preserve">Sustainability impact</t>
  </si>
  <si>
    <t xml:space="preserve">Per solar block (default 100 MWp) over 25 years, and for the proposed pilot.</t>
  </si>
  <si>
    <t xml:space="preserve">Per block</t>
  </si>
  <si>
    <t xml:space="preserve">Pilot</t>
  </si>
  <si>
    <t xml:space="preserve">Recycled polypropylene put to use (t)</t>
  </si>
  <si>
    <t xml:space="preserve">6.6 kg/m² OC-HD 40; 4.0 kg/m² OC-LW 40</t>
  </si>
  <si>
    <t xml:space="preserve">Recycled-PP credit 1.2 kg/kg; bitumen or cement avoided on main roads, incl. BC renewals (block)</t>
  </si>
  <si>
    <t xml:space="preserve">Block: cleaner modules × grid factor. Pilot: walkway generation over its life</t>
  </si>
  <si>
    <t xml:space="preserve">Total CO2e avoided (t)</t>
  </si>
  <si>
    <t xml:space="preserve">Extra clean energy (MWh)</t>
  </si>
  <si>
    <t xml:space="preserve">Block: 25 years. Pilot walkway: over its life</t>
  </si>
  <si>
    <t xml:space="preserve">Dust-suppression water avoided (kL)</t>
  </si>
  <si>
    <t xml:space="preserve">Construction years only</t>
  </si>
  <si>
    <t xml:space="preserve">Rain returned to the ground every year (m³)</t>
  </si>
  <si>
    <t xml:space="preserve">Permeable S2 tracks</t>
  </si>
  <si>
    <t xml:space="preserve">Cement avoided if main roads would otherwise be concrete (t)</t>
  </si>
  <si>
    <t xml:space="preserve">PQC 220 + DLC 150 ≈ 90 kg cement/m²; S1 uses 3.7 kg/m²</t>
  </si>
  <si>
    <t xml:space="preserve">Circularity: GridMats grids are 100% post-consumer recycled polypropylene, and can be lifted, reused or recycled at end of life. They work alongside Reliance's own ReRoute plastic-in-bitumen roads: ReRoute for bituminous highways, GridMats where a road must be permeable, fast or cement-free.</t>
  </si>
  <si>
    <t xml:space="preserve">Pilot offer to Reliance: scope, value and price</t>
  </si>
  <si>
    <t xml:space="preserve">Ex-GST. List = GridMats standard price and terms. Offer = proposed pilot price. Civil works are by Reliance's EPC at its own rates.</t>
  </si>
  <si>
    <t xml:space="preserve">Qty</t>
  </si>
  <si>
    <t xml:space="preserve">List rate (₹)</t>
  </si>
  <si>
    <t xml:space="preserve">List value (₹)</t>
  </si>
  <si>
    <t xml:space="preserve">Offer rate (₹)</t>
  </si>
  <si>
    <t xml:space="preserve">Offer value (₹)</t>
  </si>
  <si>
    <t xml:space="preserve">Notes</t>
  </si>
  <si>
    <t xml:space="preserve">A. Solar-park road pilot: 1 km with control sections</t>
  </si>
  <si>
    <t xml:space="preserve">GridMats OC-HD 40, main road S1 (0.4 km × 6 m)</t>
  </si>
  <si>
    <t xml:space="preserve">Annual-contract rate at pilot size</t>
  </si>
  <si>
    <t xml:space="preserve">GridMats OC-HD 40, O&amp;M track S2 (0.6 km × 4.5 m)</t>
  </si>
  <si>
    <t xml:space="preserve">Site design (IITPAVE on measured CBR), BoQ, method statement, hold-point QC</t>
  </si>
  <si>
    <t xml:space="preserve">lot</t>
  </si>
  <si>
    <t xml:space="preserve">Included</t>
  </si>
  <si>
    <t xml:space="preserve">On-site GridMats supervisor for the whole build</t>
  </si>
  <si>
    <t xml:space="preserve">Standard is up to 3 days</t>
  </si>
  <si>
    <t xml:space="preserve">Supervisor travel and stay</t>
  </si>
  <si>
    <t xml:space="preserve">Normally paid by the client</t>
  </si>
  <si>
    <t xml:space="preserve">B. GridMats Solar Walkway demonstrator</t>
  </si>
  <si>
    <t xml:space="preserve">GridMats base, OC-LW 40 on open-graded GSB</t>
  </si>
  <si>
    <t xml:space="preserve">Walkable PV layer + inverter, cabling, metering</t>
  </si>
  <si>
    <t xml:space="preserve">GridMats co-funds the PV part</t>
  </si>
  <si>
    <t xml:space="preserve">C. Measurement</t>
  </si>
  <si>
    <t xml:space="preserve">IoT sensors, live dashboard, soiling study, 6- and 12-month joint reports</t>
  </si>
  <si>
    <t xml:space="preserve">Free</t>
  </si>
  <si>
    <t xml:space="preserve">Total GridMats scope</t>
  </si>
  <si>
    <t xml:space="preserve">What it means for Reliance</t>
  </si>
  <si>
    <t xml:space="preserve">GridMats contribution (list value − offer)</t>
  </si>
  <si>
    <t xml:space="preserve">Saving on list value</t>
  </si>
  <si>
    <t xml:space="preserve">Grid price reduction vs the 2025 Kutch trial (₹1,165/m²)</t>
  </si>
  <si>
    <t xml:space="preserve">Civil works by Reliance's EPC, indicative (base layers, infill, labour, edges)</t>
  </si>
  <si>
    <t xml:space="preserve">Total pilot budget for Reliance (GridMats scope + civil)</t>
  </si>
  <si>
    <t xml:space="preserve">Pilot road area (m²)</t>
  </si>
  <si>
    <t xml:space="preserve">Grid laid in (crew-days)</t>
  </si>
  <si>
    <t xml:space="preserve">Credit against the first order of 25,000 m² or more</t>
  </si>
  <si>
    <t xml:space="preserve">Net pilot cost to Reliance after that credit (GridMats scope)</t>
  </si>
  <si>
    <t xml:space="preserve">Rate held for a 12-month park rate contract (₹ / m² OC-HD 40)</t>
  </si>
  <si>
    <t xml:space="preserve">Net 25-yr saving of the pilot road itself vs conventional (₹, PV)</t>
  </si>
  <si>
    <t xml:space="preserve">Success measures (12 months, measured jointly)</t>
  </si>
  <si>
    <t xml:space="preserve">Rut depth</t>
  </si>
  <si>
    <t xml:space="preserve">≤ 10 mm (investigate base if &gt; 20 mm)</t>
  </si>
  <si>
    <t xml:space="preserve">Exposed cell tops</t>
  </si>
  <si>
    <t xml:space="preserve">≤ 5% of area</t>
  </si>
  <si>
    <t xml:space="preserve">Drainage</t>
  </si>
  <si>
    <t xml:space="preserve">No standing water 1 hour after rain</t>
  </si>
  <si>
    <t xml:space="preserve">Cracks</t>
  </si>
  <si>
    <t xml:space="preserve">None crossing more than 3 cells</t>
  </si>
  <si>
    <t xml:space="preserve">Road dust</t>
  </si>
  <si>
    <t xml:space="preserve">Dust deposition next to GridMats vs WBM control section</t>
  </si>
  <si>
    <t xml:space="preserve">Module soiling</t>
  </si>
  <si>
    <t xml:space="preserve">Soiling ratio of rows 10-40 m from GridMats vs WBM control</t>
  </si>
  <si>
    <t xml:space="preserve">Upkeep</t>
  </si>
  <si>
    <t xml:space="preserve">Maintenance events and cost vs control sections</t>
  </si>
  <si>
    <t xml:space="preserve">Solar walkway</t>
  </si>
  <si>
    <t xml:space="preserve">Measured W/m², kWh per m² per day, module temperature, slip resistance, uptime</t>
  </si>
  <si>
    <t xml:space="preserve">Scale-up: what the pilot unlocks</t>
  </si>
  <si>
    <t xml:space="preserve">Base on Solar Park results. Kutch: &gt;40 billion kWh a year implies about 18-20 GW of solar.</t>
  </si>
  <si>
    <t xml:space="preserve">Block</t>
  </si>
  <si>
    <t xml:space="preserve">1 GW</t>
  </si>
  <si>
    <t xml:space="preserve">5 GW</t>
  </si>
  <si>
    <t xml:space="preserve">20 GW</t>
  </si>
  <si>
    <t xml:space="preserve">Note</t>
  </si>
  <si>
    <t xml:space="preserve">Solar capacity (MW)</t>
  </si>
  <si>
    <t xml:space="preserve">Internal road (km)</t>
  </si>
  <si>
    <t xml:space="preserve">GridMats area (m²)</t>
  </si>
  <si>
    <t xml:space="preserve">Road upkeep avoided, undiscounted (₹ Cr)</t>
  </si>
  <si>
    <t xml:space="preserve">Extra clean energy over 25 years (GWh)</t>
  </si>
  <si>
    <t xml:space="preserve">40-ft containers of grid</t>
  </si>
  <si>
    <t xml:space="preserve">Solar walkways across Reliance sites (illustrative, year 1)</t>
  </si>
  <si>
    <t xml:space="preserve">Case</t>
  </si>
  <si>
    <t xml:space="preserve">Rated MWp</t>
  </si>
  <si>
    <t xml:space="preserve">MWh / yr</t>
  </si>
  <si>
    <t xml:space="preserve">₹ Cr / yr saved</t>
  </si>
  <si>
    <t xml:space="preserve">Jamnagar Giga Complex and data-centre campus walkways</t>
  </si>
  <si>
    <t xml:space="preserve">Jamnagar yield and tariff</t>
  </si>
  <si>
    <t xml:space="preserve">Reliance Corporate Park and Jio World Centre walkways, Mumbai</t>
  </si>
  <si>
    <t xml:space="preserve">Mumbai yield and tariff</t>
  </si>
  <si>
    <t xml:space="preserve">Jio-bp EV-charging hubs: 500 sites × 40 m²</t>
  </si>
  <si>
    <t xml:space="preserve">Jamnagar basis, for scale only</t>
  </si>
  <si>
    <t xml:space="preserve">Sensitivity: NPV per solar block (₹ Cr, 25 years)</t>
  </si>
  <si>
    <t xml:space="preserve">Each row changes one driver and keeps everything else at the selected scenario. Low and high values can be edited.</t>
  </si>
  <si>
    <t xml:space="preserve">NPV at selected scenario (₹ Cr)</t>
  </si>
  <si>
    <t xml:space="preserve">Driver</t>
  </si>
  <si>
    <t xml:space="preserve">Low value</t>
  </si>
  <si>
    <t xml:space="preserve">High value</t>
  </si>
  <si>
    <t xml:space="preserve">NPV at low</t>
  </si>
  <si>
    <t xml:space="preserve">NPV at high</t>
  </si>
  <si>
    <t xml:space="preserve">Swing</t>
  </si>
  <si>
    <t xml:space="preserve">How it is computed</t>
  </si>
  <si>
    <t xml:space="preserve">GridMats grid price (± 10%)</t>
  </si>
  <si>
    <t xml:space="preserve">Build cost and the 0.5%/yr upkeep linked to it</t>
  </si>
  <si>
    <t xml:space="preserve">WBM upkeep (− / + 50%)</t>
  </si>
  <si>
    <t xml:space="preserve">Scales PV of WBM upkeep avoided</t>
  </si>
  <si>
    <t xml:space="preserve">Bituminous upkeep (− / + 50%)</t>
  </si>
  <si>
    <t xml:space="preserve">Only when main roads would be bituminous</t>
  </si>
  <si>
    <t xml:space="preserve">GridMats upkeep (+ / − 50%)</t>
  </si>
  <si>
    <t xml:space="preserve">Scales PV of GridMats upkeep</t>
  </si>
  <si>
    <t xml:space="preserve">Share of soiling from track dust</t>
  </si>
  <si>
    <t xml:space="preserve">Linear in the energy and energy-carbon terms</t>
  </si>
  <si>
    <t xml:space="preserve">Value of extra energy (₹ / kWh)</t>
  </si>
  <si>
    <t xml:space="preserve">Linear</t>
  </si>
  <si>
    <t xml:space="preserve">Carbon value (₹ / t CO2e)</t>
  </si>
  <si>
    <t xml:space="preserve">Road length per 100 MW (km)</t>
  </si>
  <si>
    <t xml:space="preserve">Road terms scale with length</t>
  </si>
  <si>
    <t xml:space="preserve">Discount rate</t>
  </si>
  <si>
    <t xml:space="preserve">Full recomputation (8% and 12% fixed)</t>
  </si>
  <si>
    <t xml:space="preserve">Scenarios side by side</t>
  </si>
  <si>
    <t xml:space="preserve">Cleaning cost avoided</t>
  </si>
  <si>
    <t xml:space="preserve">Earlier energisation (days)</t>
  </si>
  <si>
    <t xml:space="preserve">Carbon value (₹ / t)</t>
  </si>
  <si>
    <t xml:space="preserve">NPV per block (₹ Cr)</t>
  </si>
  <si>
    <t xml:space="preserve">NPV per block if the energy benefit is zero (roads only) (₹ Cr)</t>
  </si>
  <si>
    <t xml:space="preserve">Note: the conservative case still includes avoided WBM and bitumen upkeep. With no energy benefit at all, the roads-only line shows the NPV from upkeep and carbon alone.</t>
  </si>
  <si>
    <t xml:space="preserve">Sources</t>
  </si>
  <si>
    <t xml:space="preserve">Public sources accessed Sep-Oct 2026; GridMats documents current at 7 Oct 2026.</t>
  </si>
  <si>
    <t xml:space="preserve">#</t>
  </si>
  <si>
    <t xml:space="preserve">Source</t>
  </si>
  <si>
    <t xml:space="preserve">Used for</t>
  </si>
  <si>
    <t xml:space="preserve">GridMats master data and price ladder (Rev 1.3, 25-26 Sep 2026)</t>
  </si>
  <si>
    <t xml:space="preserve">Grid prices, panel weights, recycled PP per m², approved product claims</t>
  </si>
  <si>
    <t xml:space="preserve">GridMats Sales Pitch 2026 (Rev 1.5)</t>
  </si>
  <si>
    <t xml:space="preserve">Indicative installed costs, conventional comparators, cement and CO2 per 1,000 m²</t>
  </si>
  <si>
    <t xml:space="preserve">GridMats Systems Manual and specification clauses (Rev 1.3, Oct 2026)</t>
  </si>
  <si>
    <t xml:space="preserve">Base tables by load class and CBR, upkeep thresholds, laying rate</t>
  </si>
  <si>
    <t xml:space="preserve">GridMats Design Engine 73: technical deck, commercial deck, BoQ and sample proposal</t>
  </si>
  <si>
    <t xml:space="preserve">Unit rates, lifecycle method, emission factors, cross-sections</t>
  </si>
  <si>
    <t xml:space="preserve">GridMats solar and wind parks flier (Oct 2026)</t>
  </si>
  <si>
    <t xml:space="preserve">8-12 km of road per 100 MW, per-km park rate, system choice by road type</t>
  </si>
  <si>
    <t xml:space="preserve">GridMats Solar Walkway flier (6 Oct 2026) and GridMats Solar pilot quote (Oct 2026)</t>
  </si>
  <si>
    <t xml:space="preserve">160 W/m², construction, pilot method, ₹9,500/m²</t>
  </si>
  <si>
    <t xml:space="preserve">Reliance purchase and work orders, Kutch Z2 block trial (Sep 2025) and GridMats IITPAVE design (Aug 2025)</t>
  </si>
  <si>
    <t xml:space="preserve">2025 price, quantities, cross-section on CBR 3-5% saline ground</t>
  </si>
  <si>
    <t xml:space="preserve">Bureau Veritas BVIPL:SPL:BL/2545/7/2021/A; IIT Hyderabad interim report (Oct 2025)</t>
  </si>
  <si>
    <t xml:space="preserve">407 t/m² lab test on the empty OC-HD 40 panel; 2.0× base modulus at CBR 5%</t>
  </si>
  <si>
    <t xml:space="preserve">Reliance AGM 2026 coverage (BusinessToday, 19 Jun 2026); RIL Annual Report 2025-26; PL Capital Q1 FY27 note</t>
  </si>
  <si>
    <t xml:space="preserve">Kutch 5.5 lakh acres, &gt;40 billion kWh/yr, 55 MWp/day peak; 100 GW by 2030; Net Carbon Zero 2035</t>
  </si>
  <si>
    <t xml:space="preserve">CEA CO2 Baseline Database v21.0 (FY2024-25)</t>
  </si>
  <si>
    <t xml:space="preserve">Grid emission factor 0.710 t/MWh</t>
  </si>
  <si>
    <t xml:space="preserve">GERC tariff orders FY2026-27 (25 Mar 2026); MERC Case 75 of 2025</t>
  </si>
  <si>
    <t xml:space="preserve">Gujarat and Maharashtra HT tariffs</t>
  </si>
  <si>
    <t xml:space="preserve">SECI ISTS-XX auction (Oct 2025); NHPC / NTPC solar tenders</t>
  </si>
  <si>
    <t xml:space="preserve">Solar PPA levels ₹2.52-2.87/kWh</t>
  </si>
  <si>
    <t xml:space="preserve">NHPC Khavda project pages; Gujarat plant yield data</t>
  </si>
  <si>
    <t xml:space="preserve">Kutch specific yield</t>
  </si>
  <si>
    <t xml:space="preserve">CPWD DSR 2023 BoQ via Infralens; Tamil Nadu G.O. 2021-22; IRC:82-2015</t>
  </si>
  <si>
    <t xml:space="preserve">Bituminous, concrete and WBM costs and upkeep</t>
  </si>
  <si>
    <t xml:space="preserve">Renewable Watch (2023); pv-magazine India (Apr 2026); taypro (2025); Univ. of Johannesburg thesis (2025)</t>
  </si>
  <si>
    <t xml:space="preserve">Cleaning cost, soiling rates, road-dust soiling gradient</t>
  </si>
  <si>
    <t xml:space="preserve">ICAP / reclimatize.in (2026) on India CCTS</t>
  </si>
  <si>
    <t xml:space="preserve">Carbon value range</t>
  </si>
  <si>
    <t xml:space="preserve">Greentechlead (2026), Bridgeway Power (2026), studiomatrx (2026)</t>
  </si>
  <si>
    <t xml:space="preserve">Solar capex, rooftop and carport costs</t>
  </si>
  <si>
    <t xml:space="preserve">Figures marked 'Assumption' on the Inputs sheet are GridMats estimates for this model. The pilot is designed to measure the uncertain ones (soiling, dust, walkway yield).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</si>
</sst>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₹#,##0.00&quot; Cr&quot;;&quot;(₹&quot;#,##0.00&quot; Cr)&quot;;\-"/>
    <numFmt numFmtId="166" formatCode="0.0%;\(0.0%\);\-"/>
    <numFmt numFmtId="167" formatCode="0.0&quot; yrs&quot;;\(0.0&quot; yrs)&quot;;\-"/>
    <numFmt numFmtId="168" formatCode="\₹#,##0;&quot;(₹&quot;#,##0\);\-"/>
    <numFmt numFmtId="169" formatCode="#,##0;\(#,##0\);\-"/>
    <numFmt numFmtId="170" formatCode="#,##0.00;\(#,##0.00\);\-"/>
    <numFmt numFmtId="171" formatCode="\₹#,##0.00;&quot;(₹&quot;#,##0.00\);\-"/>
    <numFmt numFmtId="172" formatCode="#,##0.0;\(#,##0.0\);\-"/>
    <numFmt numFmtId="173" formatCode="0.000"/>
    <numFmt numFmtId="174" formatCode="0.0\x;\(0.0&quot;x)&quot;;\-"/>
    <numFmt numFmtId="175" formatCode="\₹#,##0.00&quot; L&quot;;&quot;(₹&quot;#,##0.00&quot; L)&quot;;\-"/>
    <numFmt numFmtId="176" formatCode="#,##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22935"/>
      <name val="Arial"/>
      <family val="0"/>
      <charset val="1"/>
    </font>
    <font>
      <sz val="12"/>
      <color rgb="FF3F3F3F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C22935"/>
      <name val="Arial"/>
      <family val="0"/>
      <charset val="1"/>
    </font>
    <font>
      <i val="true"/>
      <sz val="10"/>
      <color rgb="FF5B677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F3F3F"/>
        <bgColor rgb="FF1F2A30"/>
      </patternFill>
    </fill>
    <fill>
      <patternFill patternType="solid">
        <fgColor rgb="FFFBEAEC"/>
        <bgColor rgb="FFF6F6F4"/>
      </patternFill>
    </fill>
    <fill>
      <patternFill patternType="solid">
        <fgColor rgb="FFF6F6F4"/>
        <bgColor rgb="FFFFFDE7"/>
      </patternFill>
    </fill>
    <fill>
      <patternFill patternType="solid">
        <fgColor rgb="FFFFFF00"/>
        <bgColor rgb="FFFFFF00"/>
      </patternFill>
    </fill>
    <fill>
      <patternFill patternType="solid">
        <fgColor rgb="FFFFFD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AA5AD"/>
      </bottom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  <border diagonalUp="false" diagonalDown="false">
      <left/>
      <right/>
      <top style="thin">
        <color rgb="FF1F2A30"/>
      </top>
      <bottom style="double">
        <color rgb="FF1F2A3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2935"/>
      <rgbColor rgb="FFFFFDE7"/>
      <rgbColor rgb="FFF6F6F4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B6770"/>
      <rgbColor rgb="FF9AA5AD"/>
      <rgbColor rgb="FF003366"/>
      <rgbColor rgb="FF339966"/>
      <rgbColor rgb="FF1A1A1A"/>
      <rgbColor rgb="FF1F2A3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2935"/>
    <pageSetUpPr fitToPage="false"/>
  </sheetPr>
  <dimension ref="B2:E4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4" min="3" style="0" width="22"/>
    <col collapsed="false" customWidth="true" hidden="false" outlineLevel="0" max="5" min="5" style="0" width="4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 t="str">
        <f aca="false">Scenario</f>
        <v>Base</v>
      </c>
      <c r="D6" s="3" t="s">
        <v>4</v>
      </c>
    </row>
    <row r="8" customFormat="false" ht="18" hidden="false" customHeight="true" outlineLevel="0" collapsed="false">
      <c r="B8" s="6" t="s">
        <v>5</v>
      </c>
      <c r="C8" s="7"/>
      <c r="D8" s="7"/>
      <c r="E8" s="7"/>
    </row>
    <row r="9" customFormat="false" ht="15" hidden="false" customHeight="false" outlineLevel="0" collapsed="false">
      <c r="B9" s="8" t="s">
        <v>6</v>
      </c>
      <c r="C9" s="9" t="s">
        <v>7</v>
      </c>
      <c r="D9" s="9"/>
      <c r="E9" s="9" t="s">
        <v>8</v>
      </c>
    </row>
    <row r="10" customFormat="false" ht="15" hidden="false" customHeight="false" outlineLevel="0" collapsed="false">
      <c r="B10" s="10" t="s">
        <v>9</v>
      </c>
      <c r="C10" s="11"/>
      <c r="D10" s="11"/>
      <c r="E10" s="11"/>
    </row>
    <row r="11" customFormat="false" ht="15" hidden="false" customHeight="false" outlineLevel="0" collapsed="false">
      <c r="B11" s="12" t="s">
        <v>10</v>
      </c>
      <c r="C11" s="13" t="n">
        <f aca="false">Park_NPV</f>
        <v>4.09490283880634</v>
      </c>
      <c r="E11" s="3" t="s">
        <v>11</v>
      </c>
    </row>
    <row r="12" customFormat="false" ht="15" hidden="false" customHeight="false" outlineLevel="0" collapsed="false">
      <c r="B12" s="12" t="s">
        <v>12</v>
      </c>
      <c r="C12" s="13" t="n">
        <f aca="false">Park_Premium</f>
        <v>3.459285</v>
      </c>
      <c r="E12" s="3" t="s">
        <v>11</v>
      </c>
    </row>
    <row r="13" customFormat="false" ht="15" hidden="false" customHeight="false" outlineLevel="0" collapsed="false">
      <c r="B13" s="12" t="s">
        <v>13</v>
      </c>
      <c r="C13" s="14" t="n">
        <f aca="false">Park_PremPct</f>
        <v>0.0086482125</v>
      </c>
      <c r="E13" s="3" t="s">
        <v>11</v>
      </c>
    </row>
    <row r="14" customFormat="false" ht="15" hidden="false" customHeight="false" outlineLevel="0" collapsed="false">
      <c r="B14" s="12" t="s">
        <v>14</v>
      </c>
      <c r="C14" s="14" t="n">
        <f aca="false">Park_IRR</f>
        <v>0.208615073086779</v>
      </c>
      <c r="E14" s="3" t="s">
        <v>11</v>
      </c>
    </row>
    <row r="15" customFormat="false" ht="15" hidden="false" customHeight="false" outlineLevel="0" collapsed="false">
      <c r="B15" s="12" t="s">
        <v>15</v>
      </c>
      <c r="C15" s="15" t="n">
        <f aca="false">Park_Payback</f>
        <v>4.6793249397292</v>
      </c>
      <c r="E15" s="3" t="s">
        <v>11</v>
      </c>
    </row>
    <row r="16" customFormat="false" ht="15" hidden="false" customHeight="false" outlineLevel="0" collapsed="false">
      <c r="B16" s="12" t="s">
        <v>16</v>
      </c>
      <c r="C16" s="13" t="n">
        <f aca="false">Scn_Cons</f>
        <v>3.3013490721478</v>
      </c>
      <c r="E16" s="3" t="s">
        <v>17</v>
      </c>
    </row>
    <row r="17" customFormat="false" ht="15" hidden="false" customHeight="false" outlineLevel="0" collapsed="false">
      <c r="B17" s="12" t="s">
        <v>18</v>
      </c>
      <c r="C17" s="13" t="n">
        <f aca="false">Scn_Opt</f>
        <v>7.66157237452484</v>
      </c>
      <c r="E17" s="3" t="s">
        <v>17</v>
      </c>
    </row>
    <row r="18" customFormat="false" ht="15" hidden="false" customHeight="false" outlineLevel="0" collapsed="false">
      <c r="B18" s="10" t="s">
        <v>19</v>
      </c>
      <c r="C18" s="11"/>
      <c r="D18" s="11"/>
      <c r="E18" s="11"/>
    </row>
    <row r="19" customFormat="false" ht="15" hidden="false" customHeight="false" outlineLevel="0" collapsed="false">
      <c r="B19" s="12" t="s">
        <v>20</v>
      </c>
      <c r="C19" s="14" t="n">
        <f aca="false">SavePct_S2_WBM</f>
        <v>0.064264721767992</v>
      </c>
      <c r="E19" s="3" t="s">
        <v>21</v>
      </c>
    </row>
    <row r="20" customFormat="false" ht="15" hidden="false" customHeight="false" outlineLevel="0" collapsed="false">
      <c r="B20" s="12" t="s">
        <v>22</v>
      </c>
      <c r="C20" s="14" t="n">
        <f aca="false">SavePct_S1_BT</f>
        <v>0.300460208976085</v>
      </c>
      <c r="E20" s="3" t="s">
        <v>21</v>
      </c>
    </row>
    <row r="21" customFormat="false" ht="15" hidden="false" customHeight="false" outlineLevel="0" collapsed="false">
      <c r="B21" s="12" t="s">
        <v>23</v>
      </c>
      <c r="C21" s="14" t="n">
        <f aca="false">SavePct_S1_PQC</f>
        <v>0.334129174321813</v>
      </c>
      <c r="E21" s="3" t="s">
        <v>21</v>
      </c>
    </row>
    <row r="22" customFormat="false" ht="15" hidden="false" customHeight="false" outlineLevel="0" collapsed="false">
      <c r="B22" s="10" t="s">
        <v>24</v>
      </c>
      <c r="C22" s="11"/>
      <c r="D22" s="11"/>
      <c r="E22" s="11"/>
    </row>
    <row r="23" customFormat="false" ht="15" hidden="false" customHeight="false" outlineLevel="0" collapsed="false">
      <c r="B23" s="12" t="s">
        <v>25</v>
      </c>
      <c r="C23" s="5" t="str">
        <f aca="false">Site</f>
        <v>Navi Mumbai</v>
      </c>
      <c r="E23" s="3" t="s">
        <v>26</v>
      </c>
    </row>
    <row r="24" customFormat="false" ht="15" hidden="false" customHeight="false" outlineLevel="0" collapsed="false">
      <c r="B24" s="12" t="s">
        <v>27</v>
      </c>
      <c r="C24" s="16" t="n">
        <f aca="false">Wk_Save1</f>
        <v>2208</v>
      </c>
      <c r="E24" s="3" t="s">
        <v>28</v>
      </c>
    </row>
    <row r="25" customFormat="false" ht="15" hidden="false" customHeight="false" outlineLevel="0" collapsed="false">
      <c r="B25" s="12" t="s">
        <v>15</v>
      </c>
      <c r="C25" s="15" t="n">
        <f aca="false">Wk_Payback</f>
        <v>5.34950341204973</v>
      </c>
      <c r="E25" s="3" t="s">
        <v>28</v>
      </c>
    </row>
    <row r="26" customFormat="false" ht="15" hidden="false" customHeight="false" outlineLevel="0" collapsed="false">
      <c r="B26" s="12" t="s">
        <v>29</v>
      </c>
      <c r="C26" s="14" t="n">
        <f aca="false">Wk_IRRAT</f>
        <v>0.170265915918069</v>
      </c>
      <c r="E26" s="3" t="s">
        <v>28</v>
      </c>
    </row>
    <row r="27" customFormat="false" ht="15" hidden="false" customHeight="false" outlineLevel="0" collapsed="false">
      <c r="B27" s="10" t="s">
        <v>30</v>
      </c>
      <c r="C27" s="11"/>
      <c r="D27" s="11"/>
      <c r="E27" s="11"/>
    </row>
    <row r="28" customFormat="false" ht="15" hidden="false" customHeight="false" outlineLevel="0" collapsed="false">
      <c r="B28" s="12" t="s">
        <v>31</v>
      </c>
      <c r="C28" s="16" t="n">
        <f aca="false">Pilot_Pays</f>
        <v>5534220</v>
      </c>
      <c r="E28" s="3" t="s">
        <v>32</v>
      </c>
    </row>
    <row r="29" customFormat="false" ht="15" hidden="false" customHeight="false" outlineLevel="0" collapsed="false">
      <c r="B29" s="12" t="s">
        <v>33</v>
      </c>
      <c r="C29" s="16" t="n">
        <f aca="false">Pilot_Contrib</f>
        <v>1316000</v>
      </c>
      <c r="E29" s="3" t="s">
        <v>32</v>
      </c>
    </row>
    <row r="30" customFormat="false" ht="15" hidden="false" customHeight="false" outlineLevel="0" collapsed="false">
      <c r="B30" s="12" t="s">
        <v>34</v>
      </c>
      <c r="C30" s="14" t="n">
        <f aca="false">Pilot_vsTrial</f>
        <v>0.227467811158798</v>
      </c>
      <c r="E30" s="3" t="s">
        <v>32</v>
      </c>
    </row>
    <row r="31" customFormat="false" ht="15" hidden="false" customHeight="false" outlineLevel="0" collapsed="false">
      <c r="B31" s="10" t="s">
        <v>35</v>
      </c>
      <c r="C31" s="11"/>
      <c r="D31" s="11"/>
      <c r="E31" s="11"/>
    </row>
    <row r="32" customFormat="false" ht="15" hidden="false" customHeight="false" outlineLevel="0" collapsed="false">
      <c r="B32" s="12" t="s">
        <v>36</v>
      </c>
      <c r="C32" s="17" t="n">
        <f aca="false">Sus_PP</f>
        <v>326.7</v>
      </c>
      <c r="E32" s="3" t="s">
        <v>37</v>
      </c>
    </row>
    <row r="33" customFormat="false" ht="15" hidden="false" customHeight="false" outlineLevel="0" collapsed="false">
      <c r="B33" s="12" t="s">
        <v>38</v>
      </c>
      <c r="C33" s="17" t="n">
        <f aca="false">Sus_CO2</f>
        <v>10873.0096164081</v>
      </c>
      <c r="E33" s="3" t="s">
        <v>37</v>
      </c>
    </row>
    <row r="35" customFormat="false" ht="18" hidden="false" customHeight="true" outlineLevel="0" collapsed="false">
      <c r="B35" s="6" t="s">
        <v>39</v>
      </c>
      <c r="C35" s="7"/>
      <c r="D35" s="7"/>
      <c r="E35" s="7"/>
    </row>
    <row r="36" customFormat="false" ht="30" hidden="false" customHeight="true" outlineLevel="0" collapsed="false">
      <c r="B36" s="18" t="s">
        <v>40</v>
      </c>
      <c r="C36" s="18"/>
      <c r="D36" s="18"/>
      <c r="E36" s="18"/>
    </row>
    <row r="37" customFormat="false" ht="30" hidden="false" customHeight="true" outlineLevel="0" collapsed="false">
      <c r="B37" s="18" t="s">
        <v>41</v>
      </c>
      <c r="C37" s="18"/>
      <c r="D37" s="18"/>
      <c r="E37" s="18"/>
    </row>
    <row r="38" customFormat="false" ht="30" hidden="false" customHeight="true" outlineLevel="0" collapsed="false">
      <c r="B38" s="18" t="s">
        <v>42</v>
      </c>
      <c r="C38" s="18"/>
      <c r="D38" s="18"/>
      <c r="E38" s="18"/>
    </row>
    <row r="39" customFormat="false" ht="30" hidden="false" customHeight="true" outlineLevel="0" collapsed="false">
      <c r="B39" s="18" t="s">
        <v>43</v>
      </c>
      <c r="C39" s="18"/>
      <c r="D39" s="18"/>
      <c r="E39" s="18"/>
    </row>
    <row r="40" customFormat="false" ht="30" hidden="false" customHeight="true" outlineLevel="0" collapsed="false">
      <c r="B40" s="18" t="s">
        <v>44</v>
      </c>
      <c r="C40" s="18"/>
      <c r="D40" s="18"/>
      <c r="E40" s="18"/>
    </row>
    <row r="41" customFormat="false" ht="30" hidden="false" customHeight="true" outlineLevel="0" collapsed="false">
      <c r="B41" s="18" t="s">
        <v>45</v>
      </c>
      <c r="C41" s="18"/>
      <c r="D41" s="18"/>
      <c r="E41" s="18"/>
    </row>
  </sheetData>
  <mergeCells count="6">
    <mergeCell ref="B36:E36"/>
    <mergeCell ref="B37:E37"/>
    <mergeCell ref="B38:E38"/>
    <mergeCell ref="B39:E39"/>
    <mergeCell ref="B40:E40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00"/>
  </cols>
  <sheetData>
    <row r="1" customFormat="false" ht="25.5" hidden="false" customHeight="true" outlineLevel="0" collapsed="false">
      <c r="A1" s="19" t="s">
        <v>46</v>
      </c>
    </row>
    <row r="2" customFormat="false" ht="15" hidden="false" customHeight="false" outlineLevel="0" collapsed="false">
      <c r="A2" s="20" t="s">
        <v>47</v>
      </c>
    </row>
    <row r="3" customFormat="false" ht="15" hidden="false" customHeight="false" outlineLevel="0" collapsed="false">
      <c r="A3" s="4" t="s">
        <v>48</v>
      </c>
      <c r="C3" s="21" t="s">
        <v>49</v>
      </c>
      <c r="D3" s="3" t="s">
        <v>50</v>
      </c>
    </row>
    <row r="4" customFormat="false" ht="15" hidden="false" customHeight="false" outlineLevel="0" collapsed="false">
      <c r="A4" s="12" t="s">
        <v>51</v>
      </c>
      <c r="C4" s="22" t="n">
        <f aca="false">MATCH(C3,$D$6:$F$6,0)</f>
        <v>2</v>
      </c>
    </row>
    <row r="6" customFormat="false" ht="15" hidden="false" customHeight="false" outlineLevel="0" collapsed="false">
      <c r="A6" s="8" t="s">
        <v>52</v>
      </c>
      <c r="B6" s="9" t="s">
        <v>53</v>
      </c>
      <c r="C6" s="9" t="s">
        <v>54</v>
      </c>
      <c r="D6" s="9" t="s">
        <v>55</v>
      </c>
      <c r="E6" s="9" t="s">
        <v>49</v>
      </c>
      <c r="F6" s="9" t="s">
        <v>56</v>
      </c>
      <c r="G6" s="9" t="s">
        <v>57</v>
      </c>
    </row>
    <row r="8" customFormat="false" ht="18" hidden="false" customHeight="true" outlineLevel="0" collapsed="false">
      <c r="A8" s="6" t="s">
        <v>58</v>
      </c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12" t="s">
        <v>59</v>
      </c>
      <c r="B9" s="3" t="s">
        <v>60</v>
      </c>
      <c r="C9" s="23" t="n">
        <v>0.1</v>
      </c>
      <c r="G9" s="24" t="s">
        <v>61</v>
      </c>
    </row>
    <row r="10" customFormat="false" ht="15" hidden="false" customHeight="false" outlineLevel="0" collapsed="false">
      <c r="A10" s="12" t="s">
        <v>62</v>
      </c>
      <c r="B10" s="3" t="s">
        <v>63</v>
      </c>
      <c r="C10" s="25" t="n">
        <v>0.05</v>
      </c>
      <c r="G10" s="24" t="s">
        <v>64</v>
      </c>
    </row>
    <row r="11" customFormat="false" ht="15" hidden="false" customHeight="false" outlineLevel="0" collapsed="false">
      <c r="A11" s="12" t="s">
        <v>65</v>
      </c>
      <c r="B11" s="3" t="s">
        <v>60</v>
      </c>
      <c r="C11" s="25" t="n">
        <v>0.2517</v>
      </c>
      <c r="G11" s="24" t="s">
        <v>66</v>
      </c>
    </row>
    <row r="12" customFormat="false" ht="22.35" hidden="false" customHeight="false" outlineLevel="0" collapsed="false">
      <c r="A12" s="12" t="s">
        <v>67</v>
      </c>
      <c r="B12" s="3" t="s">
        <v>68</v>
      </c>
      <c r="C12" s="26" t="n">
        <f aca="false">INDEX(D12:F12,ScnIdx)</f>
        <v>700</v>
      </c>
      <c r="D12" s="27" t="n">
        <v>400</v>
      </c>
      <c r="E12" s="27" t="n">
        <v>700</v>
      </c>
      <c r="F12" s="27" t="n">
        <v>1500</v>
      </c>
      <c r="G12" s="24" t="s">
        <v>69</v>
      </c>
    </row>
    <row r="13" customFormat="false" ht="15" hidden="false" customHeight="false" outlineLevel="0" collapsed="false">
      <c r="A13" s="12" t="s">
        <v>70</v>
      </c>
      <c r="B13" s="3" t="s">
        <v>63</v>
      </c>
      <c r="C13" s="25" t="n">
        <v>0.05</v>
      </c>
      <c r="G13" s="24" t="s">
        <v>71</v>
      </c>
    </row>
    <row r="14" customFormat="false" ht="15" hidden="false" customHeight="false" outlineLevel="0" collapsed="false">
      <c r="A14" s="12" t="s">
        <v>72</v>
      </c>
      <c r="B14" s="3" t="s">
        <v>73</v>
      </c>
      <c r="C14" s="28" t="n">
        <v>0.71</v>
      </c>
      <c r="G14" s="24" t="s">
        <v>74</v>
      </c>
    </row>
    <row r="16" customFormat="false" ht="18" hidden="false" customHeight="true" outlineLevel="0" collapsed="false">
      <c r="A16" s="6" t="s">
        <v>75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12" t="s">
        <v>76</v>
      </c>
      <c r="B17" s="3" t="s">
        <v>77</v>
      </c>
      <c r="C17" s="29" t="n">
        <v>100</v>
      </c>
      <c r="G17" s="24" t="s">
        <v>78</v>
      </c>
    </row>
    <row r="18" customFormat="false" ht="15" hidden="false" customHeight="false" outlineLevel="0" collapsed="false">
      <c r="A18" s="12" t="s">
        <v>79</v>
      </c>
      <c r="B18" s="3" t="s">
        <v>80</v>
      </c>
      <c r="C18" s="28" t="n">
        <v>4</v>
      </c>
      <c r="G18" s="24" t="s">
        <v>81</v>
      </c>
    </row>
    <row r="19" customFormat="false" ht="15" hidden="false" customHeight="false" outlineLevel="0" collapsed="false">
      <c r="A19" s="12" t="s">
        <v>82</v>
      </c>
      <c r="B19" s="3" t="s">
        <v>83</v>
      </c>
      <c r="C19" s="29" t="n">
        <v>1870</v>
      </c>
      <c r="G19" s="24" t="s">
        <v>84</v>
      </c>
    </row>
    <row r="20" customFormat="false" ht="15" hidden="false" customHeight="false" outlineLevel="0" collapsed="false">
      <c r="A20" s="12" t="s">
        <v>85</v>
      </c>
      <c r="B20" s="3" t="s">
        <v>63</v>
      </c>
      <c r="C20" s="25" t="n">
        <v>0.004</v>
      </c>
      <c r="G20" s="24" t="s">
        <v>86</v>
      </c>
    </row>
    <row r="21" customFormat="false" ht="22.35" hidden="false" customHeight="false" outlineLevel="0" collapsed="false">
      <c r="A21" s="12" t="s">
        <v>87</v>
      </c>
      <c r="B21" s="3" t="s">
        <v>88</v>
      </c>
      <c r="C21" s="30" t="n">
        <f aca="false">INDEX(D21:F21,ScnIdx)</f>
        <v>2.7</v>
      </c>
      <c r="D21" s="31" t="n">
        <v>2.55</v>
      </c>
      <c r="E21" s="31" t="n">
        <v>2.7</v>
      </c>
      <c r="F21" s="31" t="n">
        <v>2.9</v>
      </c>
      <c r="G21" s="24" t="s">
        <v>89</v>
      </c>
    </row>
    <row r="22" customFormat="false" ht="15" hidden="false" customHeight="false" outlineLevel="0" collapsed="false">
      <c r="A22" s="12" t="s">
        <v>90</v>
      </c>
      <c r="B22" s="3" t="s">
        <v>63</v>
      </c>
      <c r="C22" s="25" t="n">
        <v>0</v>
      </c>
      <c r="G22" s="24" t="s">
        <v>91</v>
      </c>
    </row>
    <row r="23" customFormat="false" ht="15" hidden="false" customHeight="false" outlineLevel="0" collapsed="false">
      <c r="A23" s="12" t="s">
        <v>92</v>
      </c>
      <c r="B23" s="3" t="s">
        <v>93</v>
      </c>
      <c r="C23" s="32" t="n">
        <v>10</v>
      </c>
      <c r="G23" s="24" t="s">
        <v>94</v>
      </c>
    </row>
    <row r="24" customFormat="false" ht="15" hidden="false" customHeight="false" outlineLevel="0" collapsed="false">
      <c r="A24" s="12" t="s">
        <v>95</v>
      </c>
      <c r="B24" s="3" t="s">
        <v>60</v>
      </c>
      <c r="C24" s="25" t="n">
        <v>0.3</v>
      </c>
      <c r="G24" s="24" t="s">
        <v>71</v>
      </c>
    </row>
    <row r="25" customFormat="false" ht="15" hidden="false" customHeight="false" outlineLevel="0" collapsed="false">
      <c r="A25" s="12" t="s">
        <v>96</v>
      </c>
      <c r="B25" s="3" t="s">
        <v>97</v>
      </c>
      <c r="C25" s="33" t="n">
        <v>6</v>
      </c>
      <c r="G25" s="24" t="s">
        <v>98</v>
      </c>
    </row>
    <row r="26" customFormat="false" ht="15" hidden="false" customHeight="false" outlineLevel="0" collapsed="false">
      <c r="A26" s="12" t="s">
        <v>99</v>
      </c>
      <c r="B26" s="3" t="s">
        <v>97</v>
      </c>
      <c r="C26" s="33" t="n">
        <v>4.5</v>
      </c>
      <c r="G26" s="24" t="s">
        <v>100</v>
      </c>
    </row>
    <row r="27" customFormat="false" ht="15" hidden="false" customHeight="false" outlineLevel="0" collapsed="false">
      <c r="A27" s="12" t="s">
        <v>101</v>
      </c>
      <c r="B27" s="3" t="s">
        <v>102</v>
      </c>
      <c r="C27" s="34" t="s">
        <v>103</v>
      </c>
      <c r="G27" s="24" t="s">
        <v>104</v>
      </c>
    </row>
    <row r="28" customFormat="false" ht="22.35" hidden="false" customHeight="false" outlineLevel="0" collapsed="false">
      <c r="A28" s="12" t="s">
        <v>105</v>
      </c>
      <c r="B28" s="3" t="s">
        <v>106</v>
      </c>
      <c r="C28" s="25" t="n">
        <v>0.03</v>
      </c>
      <c r="G28" s="24" t="s">
        <v>107</v>
      </c>
    </row>
    <row r="29" customFormat="false" ht="22.35" hidden="false" customHeight="false" outlineLevel="0" collapsed="false">
      <c r="A29" s="12" t="s">
        <v>108</v>
      </c>
      <c r="B29" s="3" t="s">
        <v>60</v>
      </c>
      <c r="C29" s="35" t="n">
        <f aca="false">INDEX(D29:F29,ScnIdx)</f>
        <v>0.15</v>
      </c>
      <c r="D29" s="23" t="n">
        <v>0.1</v>
      </c>
      <c r="E29" s="23" t="n">
        <v>0.15</v>
      </c>
      <c r="F29" s="23" t="n">
        <v>0.25</v>
      </c>
      <c r="G29" s="24" t="s">
        <v>109</v>
      </c>
    </row>
    <row r="30" customFormat="false" ht="15" hidden="false" customHeight="false" outlineLevel="0" collapsed="false">
      <c r="A30" s="12" t="s">
        <v>110</v>
      </c>
      <c r="B30" s="3" t="s">
        <v>60</v>
      </c>
      <c r="C30" s="25" t="n">
        <v>0.7</v>
      </c>
      <c r="G30" s="24" t="s">
        <v>111</v>
      </c>
    </row>
    <row r="31" customFormat="false" ht="15" hidden="false" customHeight="false" outlineLevel="0" collapsed="false">
      <c r="A31" s="12" t="s">
        <v>112</v>
      </c>
      <c r="B31" s="3" t="s">
        <v>113</v>
      </c>
      <c r="C31" s="28" t="n">
        <v>1.5</v>
      </c>
      <c r="G31" s="24" t="s">
        <v>114</v>
      </c>
    </row>
    <row r="32" customFormat="false" ht="15" hidden="false" customHeight="false" outlineLevel="0" collapsed="false">
      <c r="A32" s="12" t="s">
        <v>115</v>
      </c>
      <c r="B32" s="3" t="s">
        <v>60</v>
      </c>
      <c r="C32" s="35" t="n">
        <f aca="false">INDEX(D32:F32,ScnIdx)</f>
        <v>0</v>
      </c>
      <c r="D32" s="25" t="n">
        <v>0</v>
      </c>
      <c r="E32" s="25" t="n">
        <v>0</v>
      </c>
      <c r="F32" s="25" t="n">
        <v>0.05</v>
      </c>
      <c r="G32" s="24" t="s">
        <v>116</v>
      </c>
    </row>
    <row r="33" customFormat="false" ht="15" hidden="false" customHeight="false" outlineLevel="0" collapsed="false">
      <c r="A33" s="12" t="s">
        <v>117</v>
      </c>
      <c r="B33" s="3" t="s">
        <v>118</v>
      </c>
      <c r="C33" s="36" t="n">
        <f aca="false">INDEX(D33:F33,ScnIdx)</f>
        <v>0</v>
      </c>
      <c r="D33" s="29" t="n">
        <v>0</v>
      </c>
      <c r="E33" s="29" t="n">
        <v>0</v>
      </c>
      <c r="F33" s="29" t="n">
        <v>2</v>
      </c>
      <c r="G33" s="24" t="s">
        <v>119</v>
      </c>
    </row>
    <row r="34" customFormat="false" ht="15" hidden="false" customHeight="false" outlineLevel="0" collapsed="false">
      <c r="A34" s="12" t="s">
        <v>120</v>
      </c>
      <c r="B34" s="3" t="s">
        <v>121</v>
      </c>
      <c r="C34" s="29" t="n">
        <v>2</v>
      </c>
      <c r="G34" s="24" t="s">
        <v>71</v>
      </c>
    </row>
    <row r="35" customFormat="false" ht="15" hidden="false" customHeight="false" outlineLevel="0" collapsed="false">
      <c r="A35" s="12" t="s">
        <v>122</v>
      </c>
      <c r="B35" s="3" t="s">
        <v>123</v>
      </c>
      <c r="C35" s="27" t="n">
        <v>75</v>
      </c>
      <c r="G35" s="24" t="s">
        <v>124</v>
      </c>
    </row>
    <row r="36" customFormat="false" ht="15" hidden="false" customHeight="false" outlineLevel="0" collapsed="false">
      <c r="A36" s="12" t="s">
        <v>125</v>
      </c>
      <c r="B36" s="3" t="s">
        <v>126</v>
      </c>
      <c r="C36" s="33" t="n">
        <v>1</v>
      </c>
      <c r="G36" s="24" t="s">
        <v>71</v>
      </c>
    </row>
    <row r="37" customFormat="false" ht="15" hidden="false" customHeight="false" outlineLevel="0" collapsed="false">
      <c r="A37" s="12" t="s">
        <v>127</v>
      </c>
      <c r="B37" s="3" t="s">
        <v>118</v>
      </c>
      <c r="C37" s="29" t="n">
        <v>200</v>
      </c>
      <c r="G37" s="24" t="s">
        <v>71</v>
      </c>
    </row>
    <row r="38" customFormat="false" ht="15" hidden="false" customHeight="false" outlineLevel="0" collapsed="false">
      <c r="A38" s="12" t="s">
        <v>128</v>
      </c>
      <c r="B38" s="3" t="s">
        <v>129</v>
      </c>
      <c r="C38" s="29" t="n">
        <v>400</v>
      </c>
      <c r="G38" s="24" t="s">
        <v>130</v>
      </c>
    </row>
    <row r="39" customFormat="false" ht="15" hidden="false" customHeight="false" outlineLevel="0" collapsed="false">
      <c r="A39" s="12" t="s">
        <v>131</v>
      </c>
      <c r="B39" s="3" t="s">
        <v>60</v>
      </c>
      <c r="C39" s="25" t="n">
        <v>0.9</v>
      </c>
      <c r="G39" s="24" t="s">
        <v>132</v>
      </c>
    </row>
    <row r="41" customFormat="false" ht="18" hidden="false" customHeight="true" outlineLevel="0" collapsed="false">
      <c r="A41" s="6" t="s">
        <v>133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12" t="s">
        <v>134</v>
      </c>
      <c r="B42" s="3" t="s">
        <v>135</v>
      </c>
      <c r="C42" s="27" t="n">
        <v>600</v>
      </c>
      <c r="G42" s="24" t="s">
        <v>136</v>
      </c>
    </row>
    <row r="43" customFormat="false" ht="15" hidden="false" customHeight="false" outlineLevel="0" collapsed="false">
      <c r="A43" s="12" t="s">
        <v>137</v>
      </c>
      <c r="B43" s="3" t="s">
        <v>135</v>
      </c>
      <c r="C43" s="27" t="n">
        <v>2000</v>
      </c>
      <c r="G43" s="24" t="s">
        <v>138</v>
      </c>
    </row>
    <row r="44" customFormat="false" ht="15" hidden="false" customHeight="false" outlineLevel="0" collapsed="false">
      <c r="A44" s="12" t="s">
        <v>139</v>
      </c>
      <c r="B44" s="3" t="s">
        <v>135</v>
      </c>
      <c r="C44" s="27" t="n">
        <v>3200</v>
      </c>
      <c r="G44" s="24" t="s">
        <v>140</v>
      </c>
    </row>
    <row r="45" customFormat="false" ht="15" hidden="false" customHeight="false" outlineLevel="0" collapsed="false">
      <c r="A45" s="12" t="s">
        <v>141</v>
      </c>
      <c r="B45" s="3" t="s">
        <v>135</v>
      </c>
      <c r="C45" s="27" t="n">
        <v>1100</v>
      </c>
      <c r="G45" s="24" t="s">
        <v>142</v>
      </c>
    </row>
    <row r="47" customFormat="false" ht="18" hidden="false" customHeight="true" outlineLevel="0" collapsed="false">
      <c r="A47" s="6" t="s">
        <v>143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12" t="s">
        <v>144</v>
      </c>
      <c r="B48" s="3" t="s">
        <v>123</v>
      </c>
      <c r="C48" s="37" t="n">
        <v>40</v>
      </c>
      <c r="G48" s="24" t="s">
        <v>145</v>
      </c>
    </row>
    <row r="49" customFormat="false" ht="15" hidden="false" customHeight="false" outlineLevel="0" collapsed="false">
      <c r="A49" s="12" t="s">
        <v>146</v>
      </c>
      <c r="B49" s="3" t="s">
        <v>147</v>
      </c>
      <c r="C49" s="27" t="n">
        <v>250</v>
      </c>
      <c r="G49" s="24" t="s">
        <v>148</v>
      </c>
    </row>
    <row r="50" customFormat="false" ht="15" hidden="false" customHeight="false" outlineLevel="0" collapsed="false">
      <c r="A50" s="12" t="s">
        <v>149</v>
      </c>
      <c r="B50" s="3" t="s">
        <v>121</v>
      </c>
      <c r="C50" s="29" t="n">
        <v>4</v>
      </c>
      <c r="G50" s="24" t="s">
        <v>150</v>
      </c>
    </row>
    <row r="51" customFormat="false" ht="15" hidden="false" customHeight="false" outlineLevel="0" collapsed="false">
      <c r="A51" s="12" t="s">
        <v>151</v>
      </c>
      <c r="B51" s="3" t="s">
        <v>123</v>
      </c>
      <c r="C51" s="27" t="n">
        <v>20</v>
      </c>
      <c r="G51" s="24" t="s">
        <v>152</v>
      </c>
    </row>
    <row r="52" customFormat="false" ht="15" hidden="false" customHeight="false" outlineLevel="0" collapsed="false">
      <c r="A52" s="12" t="s">
        <v>153</v>
      </c>
      <c r="B52" s="3" t="s">
        <v>147</v>
      </c>
      <c r="C52" s="27" t="n">
        <v>450</v>
      </c>
      <c r="G52" s="24" t="s">
        <v>71</v>
      </c>
    </row>
    <row r="53" customFormat="false" ht="15" hidden="false" customHeight="false" outlineLevel="0" collapsed="false">
      <c r="A53" s="12" t="s">
        <v>154</v>
      </c>
      <c r="B53" s="3" t="s">
        <v>121</v>
      </c>
      <c r="C53" s="29" t="n">
        <v>5</v>
      </c>
      <c r="G53" s="24" t="s">
        <v>155</v>
      </c>
    </row>
    <row r="54" customFormat="false" ht="15" hidden="false" customHeight="false" outlineLevel="0" collapsed="false">
      <c r="A54" s="12" t="s">
        <v>156</v>
      </c>
      <c r="B54" s="3" t="s">
        <v>123</v>
      </c>
      <c r="C54" s="27" t="n">
        <v>10</v>
      </c>
      <c r="G54" s="24" t="s">
        <v>71</v>
      </c>
    </row>
    <row r="55" customFormat="false" ht="15" hidden="false" customHeight="false" outlineLevel="0" collapsed="false">
      <c r="A55" s="12" t="s">
        <v>157</v>
      </c>
      <c r="B55" s="3" t="s">
        <v>147</v>
      </c>
      <c r="C55" s="27" t="n">
        <v>150</v>
      </c>
      <c r="G55" s="24" t="s">
        <v>158</v>
      </c>
    </row>
    <row r="56" customFormat="false" ht="15" hidden="false" customHeight="false" outlineLevel="0" collapsed="false">
      <c r="A56" s="12" t="s">
        <v>159</v>
      </c>
      <c r="B56" s="3" t="s">
        <v>121</v>
      </c>
      <c r="C56" s="29" t="n">
        <v>10</v>
      </c>
      <c r="G56" s="24" t="s">
        <v>160</v>
      </c>
    </row>
    <row r="57" customFormat="false" ht="15" hidden="false" customHeight="false" outlineLevel="0" collapsed="false">
      <c r="A57" s="12" t="s">
        <v>161</v>
      </c>
      <c r="B57" s="3" t="s">
        <v>162</v>
      </c>
      <c r="C57" s="25" t="n">
        <v>0.005</v>
      </c>
      <c r="G57" s="24" t="s">
        <v>163</v>
      </c>
    </row>
    <row r="58" customFormat="false" ht="15" hidden="false" customHeight="false" outlineLevel="0" collapsed="false">
      <c r="A58" s="12" t="s">
        <v>164</v>
      </c>
      <c r="B58" s="3" t="s">
        <v>147</v>
      </c>
      <c r="C58" s="27" t="n">
        <v>150</v>
      </c>
      <c r="G58" s="24" t="s">
        <v>165</v>
      </c>
    </row>
    <row r="59" customFormat="false" ht="15" hidden="false" customHeight="false" outlineLevel="0" collapsed="false">
      <c r="A59" s="12" t="s">
        <v>166</v>
      </c>
      <c r="B59" s="3" t="s">
        <v>121</v>
      </c>
      <c r="C59" s="29" t="n">
        <v>10</v>
      </c>
      <c r="G59" s="24" t="s">
        <v>167</v>
      </c>
    </row>
    <row r="60" customFormat="false" ht="15" hidden="false" customHeight="false" outlineLevel="0" collapsed="false">
      <c r="A60" s="12" t="s">
        <v>168</v>
      </c>
      <c r="B60" s="3" t="s">
        <v>147</v>
      </c>
      <c r="C60" s="27" t="n">
        <v>35</v>
      </c>
      <c r="G60" s="24" t="s">
        <v>169</v>
      </c>
    </row>
    <row r="61" customFormat="false" ht="15" hidden="false" customHeight="false" outlineLevel="0" collapsed="false">
      <c r="A61" s="12" t="s">
        <v>170</v>
      </c>
      <c r="B61" s="3" t="s">
        <v>121</v>
      </c>
      <c r="C61" s="29" t="n">
        <v>3</v>
      </c>
      <c r="G61" s="24" t="s">
        <v>171</v>
      </c>
    </row>
    <row r="63" customFormat="false" ht="18" hidden="false" customHeight="true" outlineLevel="0" collapsed="false">
      <c r="A63" s="6" t="s">
        <v>172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12" t="s">
        <v>173</v>
      </c>
      <c r="B64" s="3" t="s">
        <v>135</v>
      </c>
      <c r="C64" s="37" t="n">
        <v>900</v>
      </c>
      <c r="G64" s="24" t="s">
        <v>174</v>
      </c>
    </row>
    <row r="65" customFormat="false" ht="15" hidden="false" customHeight="false" outlineLevel="0" collapsed="false">
      <c r="A65" s="12" t="s">
        <v>175</v>
      </c>
      <c r="B65" s="3" t="s">
        <v>135</v>
      </c>
      <c r="C65" s="27" t="n">
        <v>550</v>
      </c>
      <c r="G65" s="24" t="s">
        <v>176</v>
      </c>
    </row>
    <row r="66" customFormat="false" ht="15" hidden="false" customHeight="false" outlineLevel="0" collapsed="false">
      <c r="A66" s="12" t="s">
        <v>177</v>
      </c>
      <c r="B66" s="3" t="s">
        <v>135</v>
      </c>
      <c r="C66" s="27" t="n">
        <v>690</v>
      </c>
      <c r="G66" s="24" t="s">
        <v>176</v>
      </c>
    </row>
    <row r="67" customFormat="false" ht="15" hidden="false" customHeight="false" outlineLevel="0" collapsed="false">
      <c r="A67" s="12" t="s">
        <v>178</v>
      </c>
      <c r="B67" s="3" t="s">
        <v>135</v>
      </c>
      <c r="C67" s="27" t="n">
        <v>55</v>
      </c>
      <c r="G67" s="24" t="s">
        <v>179</v>
      </c>
    </row>
    <row r="68" customFormat="false" ht="15" hidden="false" customHeight="false" outlineLevel="0" collapsed="false">
      <c r="A68" s="12" t="s">
        <v>180</v>
      </c>
      <c r="B68" s="3" t="s">
        <v>135</v>
      </c>
      <c r="C68" s="27" t="n">
        <v>60</v>
      </c>
      <c r="G68" s="24" t="s">
        <v>181</v>
      </c>
    </row>
    <row r="69" customFormat="false" ht="15" hidden="false" customHeight="false" outlineLevel="0" collapsed="false">
      <c r="A69" s="12" t="s">
        <v>182</v>
      </c>
      <c r="B69" s="3" t="s">
        <v>135</v>
      </c>
      <c r="C69" s="27" t="n">
        <v>60</v>
      </c>
      <c r="G69" s="24" t="s">
        <v>183</v>
      </c>
    </row>
    <row r="70" customFormat="false" ht="15" hidden="false" customHeight="false" outlineLevel="0" collapsed="false">
      <c r="A70" s="12" t="s">
        <v>184</v>
      </c>
      <c r="B70" s="3" t="s">
        <v>185</v>
      </c>
      <c r="C70" s="27" t="n">
        <v>8</v>
      </c>
      <c r="G70" s="24" t="s">
        <v>183</v>
      </c>
    </row>
    <row r="71" customFormat="false" ht="15" hidden="false" customHeight="false" outlineLevel="0" collapsed="false">
      <c r="A71" s="12" t="s">
        <v>186</v>
      </c>
      <c r="B71" s="3" t="s">
        <v>187</v>
      </c>
      <c r="C71" s="28" t="n">
        <v>0.4</v>
      </c>
      <c r="G71" s="24" t="s">
        <v>188</v>
      </c>
    </row>
    <row r="72" customFormat="false" ht="15" hidden="false" customHeight="false" outlineLevel="0" collapsed="false">
      <c r="A72" s="12" t="s">
        <v>189</v>
      </c>
      <c r="B72" s="3" t="s">
        <v>135</v>
      </c>
      <c r="C72" s="27" t="n">
        <v>60</v>
      </c>
      <c r="G72" s="24" t="s">
        <v>190</v>
      </c>
    </row>
    <row r="73" customFormat="false" ht="15" hidden="false" customHeight="false" outlineLevel="0" collapsed="false">
      <c r="A73" s="12" t="s">
        <v>191</v>
      </c>
      <c r="B73" s="3" t="s">
        <v>192</v>
      </c>
      <c r="C73" s="27" t="n">
        <v>1400</v>
      </c>
      <c r="G73" s="24" t="s">
        <v>183</v>
      </c>
    </row>
    <row r="74" customFormat="false" ht="15" hidden="false" customHeight="false" outlineLevel="0" collapsed="false">
      <c r="A74" s="12" t="s">
        <v>193</v>
      </c>
      <c r="B74" s="3" t="s">
        <v>192</v>
      </c>
      <c r="C74" s="27" t="n">
        <v>1600</v>
      </c>
      <c r="G74" s="24" t="s">
        <v>183</v>
      </c>
    </row>
    <row r="75" customFormat="false" ht="15" hidden="false" customHeight="false" outlineLevel="0" collapsed="false">
      <c r="A75" s="12" t="s">
        <v>194</v>
      </c>
      <c r="B75" s="3" t="s">
        <v>192</v>
      </c>
      <c r="C75" s="27" t="n">
        <v>1900</v>
      </c>
      <c r="G75" s="24" t="s">
        <v>183</v>
      </c>
    </row>
    <row r="76" customFormat="false" ht="15" hidden="false" customHeight="false" outlineLevel="0" collapsed="false">
      <c r="A76" s="12" t="s">
        <v>195</v>
      </c>
      <c r="B76" s="3" t="s">
        <v>192</v>
      </c>
      <c r="C76" s="27" t="n">
        <v>1800</v>
      </c>
      <c r="G76" s="24" t="s">
        <v>183</v>
      </c>
    </row>
    <row r="77" customFormat="false" ht="15" hidden="false" customHeight="false" outlineLevel="0" collapsed="false">
      <c r="A77" s="12" t="s">
        <v>196</v>
      </c>
      <c r="B77" s="3" t="s">
        <v>192</v>
      </c>
      <c r="C77" s="27" t="n">
        <v>1900</v>
      </c>
      <c r="G77" s="24" t="s">
        <v>197</v>
      </c>
    </row>
    <row r="78" customFormat="false" ht="15" hidden="false" customHeight="false" outlineLevel="0" collapsed="false">
      <c r="A78" s="12" t="s">
        <v>198</v>
      </c>
      <c r="B78" s="3" t="s">
        <v>135</v>
      </c>
      <c r="C78" s="27" t="n">
        <v>253</v>
      </c>
      <c r="G78" s="24" t="s">
        <v>199</v>
      </c>
    </row>
    <row r="79" customFormat="false" ht="15" hidden="false" customHeight="false" outlineLevel="0" collapsed="false">
      <c r="A79" s="12" t="s">
        <v>200</v>
      </c>
      <c r="B79" s="3" t="s">
        <v>135</v>
      </c>
      <c r="C79" s="27" t="n">
        <v>28</v>
      </c>
      <c r="G79" s="24" t="s">
        <v>201</v>
      </c>
    </row>
    <row r="80" customFormat="false" ht="15" hidden="false" customHeight="false" outlineLevel="0" collapsed="false">
      <c r="A80" s="12" t="s">
        <v>202</v>
      </c>
      <c r="B80" s="3" t="s">
        <v>135</v>
      </c>
      <c r="C80" s="27" t="n">
        <v>12</v>
      </c>
      <c r="G80" s="24" t="s">
        <v>203</v>
      </c>
    </row>
    <row r="81" customFormat="false" ht="15" hidden="false" customHeight="false" outlineLevel="0" collapsed="false">
      <c r="A81" s="12" t="s">
        <v>204</v>
      </c>
      <c r="B81" s="3" t="s">
        <v>205</v>
      </c>
      <c r="C81" s="33" t="n">
        <v>6.6</v>
      </c>
      <c r="G81" s="24" t="s">
        <v>206</v>
      </c>
    </row>
    <row r="82" customFormat="false" ht="15" hidden="false" customHeight="false" outlineLevel="0" collapsed="false">
      <c r="A82" s="12" t="s">
        <v>207</v>
      </c>
      <c r="B82" s="3" t="s">
        <v>205</v>
      </c>
      <c r="C82" s="33" t="n">
        <v>4</v>
      </c>
      <c r="G82" s="24" t="s">
        <v>208</v>
      </c>
    </row>
    <row r="83" customFormat="false" ht="15" hidden="false" customHeight="false" outlineLevel="0" collapsed="false">
      <c r="A83" s="12" t="s">
        <v>209</v>
      </c>
      <c r="B83" s="3" t="s">
        <v>210</v>
      </c>
      <c r="C83" s="33" t="n">
        <v>1.2</v>
      </c>
      <c r="G83" s="24" t="s">
        <v>132</v>
      </c>
    </row>
    <row r="84" customFormat="false" ht="15" hidden="false" customHeight="false" outlineLevel="0" collapsed="false">
      <c r="A84" s="12" t="s">
        <v>211</v>
      </c>
      <c r="B84" s="3" t="s">
        <v>212</v>
      </c>
      <c r="C84" s="28" t="n">
        <v>0.65</v>
      </c>
      <c r="G84" s="24" t="s">
        <v>213</v>
      </c>
    </row>
    <row r="85" customFormat="false" ht="15" hidden="false" customHeight="false" outlineLevel="0" collapsed="false">
      <c r="A85" s="12" t="s">
        <v>214</v>
      </c>
      <c r="B85" s="3" t="s">
        <v>205</v>
      </c>
      <c r="C85" s="29" t="n">
        <v>90</v>
      </c>
      <c r="G85" s="24" t="s">
        <v>215</v>
      </c>
    </row>
    <row r="86" customFormat="false" ht="15" hidden="false" customHeight="false" outlineLevel="0" collapsed="false">
      <c r="A86" s="12" t="s">
        <v>216</v>
      </c>
      <c r="B86" s="3" t="s">
        <v>205</v>
      </c>
      <c r="C86" s="33" t="n">
        <v>3.7</v>
      </c>
      <c r="G86" s="24" t="s">
        <v>217</v>
      </c>
    </row>
    <row r="87" customFormat="false" ht="15" hidden="false" customHeight="false" outlineLevel="0" collapsed="false">
      <c r="A87" s="12" t="s">
        <v>218</v>
      </c>
      <c r="B87" s="3" t="s">
        <v>212</v>
      </c>
      <c r="C87" s="28" t="n">
        <v>0.55</v>
      </c>
      <c r="G87" s="24" t="s">
        <v>132</v>
      </c>
    </row>
    <row r="88" customFormat="false" ht="15" hidden="false" customHeight="false" outlineLevel="0" collapsed="false">
      <c r="A88" s="12" t="s">
        <v>219</v>
      </c>
      <c r="B88" s="3" t="s">
        <v>220</v>
      </c>
      <c r="C88" s="29" t="n">
        <v>25</v>
      </c>
      <c r="G88" s="24" t="s">
        <v>132</v>
      </c>
    </row>
    <row r="89" customFormat="false" ht="15" hidden="false" customHeight="false" outlineLevel="0" collapsed="false">
      <c r="A89" s="12" t="s">
        <v>221</v>
      </c>
      <c r="B89" s="3" t="s">
        <v>222</v>
      </c>
      <c r="C89" s="28" t="n">
        <v>0.2115</v>
      </c>
      <c r="G89" s="24" t="s">
        <v>223</v>
      </c>
    </row>
    <row r="90" customFormat="false" ht="15" hidden="false" customHeight="false" outlineLevel="0" collapsed="false">
      <c r="A90" s="12" t="s">
        <v>224</v>
      </c>
      <c r="B90" s="3" t="s">
        <v>205</v>
      </c>
      <c r="C90" s="33" t="n">
        <v>10.6</v>
      </c>
      <c r="G90" s="24" t="s">
        <v>225</v>
      </c>
    </row>
    <row r="91" customFormat="false" ht="15" hidden="false" customHeight="false" outlineLevel="0" collapsed="false">
      <c r="A91" s="12" t="s">
        <v>226</v>
      </c>
      <c r="B91" s="3" t="s">
        <v>222</v>
      </c>
      <c r="C91" s="28" t="n">
        <v>0.094</v>
      </c>
      <c r="G91" s="24" t="s">
        <v>227</v>
      </c>
    </row>
    <row r="92" customFormat="false" ht="15" hidden="false" customHeight="false" outlineLevel="0" collapsed="false">
      <c r="A92" s="12" t="s">
        <v>228</v>
      </c>
      <c r="B92" s="3" t="s">
        <v>205</v>
      </c>
      <c r="C92" s="33" t="n">
        <v>4.7</v>
      </c>
      <c r="G92" s="24" t="s">
        <v>225</v>
      </c>
    </row>
    <row r="94" customFormat="false" ht="18" hidden="false" customHeight="true" outlineLevel="0" collapsed="false">
      <c r="A94" s="6" t="s">
        <v>229</v>
      </c>
      <c r="B94" s="7"/>
      <c r="C94" s="7"/>
      <c r="D94" s="7"/>
      <c r="E94" s="7"/>
      <c r="F94" s="7"/>
      <c r="G94" s="7"/>
    </row>
    <row r="95" customFormat="false" ht="22.35" hidden="false" customHeight="false" outlineLevel="0" collapsed="false">
      <c r="A95" s="12" t="s">
        <v>230</v>
      </c>
      <c r="B95" s="3" t="s">
        <v>102</v>
      </c>
      <c r="C95" s="34" t="s">
        <v>231</v>
      </c>
      <c r="G95" s="24" t="s">
        <v>232</v>
      </c>
    </row>
    <row r="96" customFormat="false" ht="15" hidden="false" customHeight="false" outlineLevel="0" collapsed="false">
      <c r="A96" s="12" t="s">
        <v>233</v>
      </c>
      <c r="B96" s="3" t="s">
        <v>234</v>
      </c>
      <c r="C96" s="29" t="n">
        <v>160</v>
      </c>
      <c r="G96" s="24" t="s">
        <v>235</v>
      </c>
    </row>
    <row r="97" customFormat="false" ht="15" hidden="false" customHeight="false" outlineLevel="0" collapsed="false">
      <c r="A97" s="12" t="s">
        <v>236</v>
      </c>
      <c r="B97" s="3" t="s">
        <v>83</v>
      </c>
      <c r="C97" s="38" t="n">
        <v>1300</v>
      </c>
      <c r="G97" s="24" t="s">
        <v>237</v>
      </c>
    </row>
    <row r="98" customFormat="false" ht="15" hidden="false" customHeight="false" outlineLevel="0" collapsed="false">
      <c r="A98" s="12" t="s">
        <v>238</v>
      </c>
      <c r="B98" s="3" t="s">
        <v>83</v>
      </c>
      <c r="C98" s="29" t="n">
        <v>1150</v>
      </c>
      <c r="G98" s="24" t="s">
        <v>239</v>
      </c>
    </row>
    <row r="99" customFormat="false" ht="15" hidden="false" customHeight="false" outlineLevel="0" collapsed="false">
      <c r="A99" s="12" t="s">
        <v>240</v>
      </c>
      <c r="B99" s="3" t="s">
        <v>241</v>
      </c>
      <c r="C99" s="39" t="n">
        <f aca="false">INDEX(D99:F99,ScnIdx)</f>
        <v>1</v>
      </c>
      <c r="D99" s="28" t="n">
        <v>0.9</v>
      </c>
      <c r="E99" s="28" t="n">
        <v>1</v>
      </c>
      <c r="F99" s="28" t="n">
        <v>1.1</v>
      </c>
      <c r="G99" s="24" t="s">
        <v>242</v>
      </c>
    </row>
    <row r="100" customFormat="false" ht="15" hidden="false" customHeight="false" outlineLevel="0" collapsed="false">
      <c r="A100" s="12" t="s">
        <v>243</v>
      </c>
      <c r="B100" s="3" t="s">
        <v>88</v>
      </c>
      <c r="C100" s="40" t="n">
        <v>7.5</v>
      </c>
      <c r="G100" s="24" t="s">
        <v>244</v>
      </c>
    </row>
    <row r="101" customFormat="false" ht="15" hidden="false" customHeight="false" outlineLevel="0" collapsed="false">
      <c r="A101" s="12" t="s">
        <v>245</v>
      </c>
      <c r="B101" s="3" t="s">
        <v>88</v>
      </c>
      <c r="C101" s="40" t="n">
        <v>12</v>
      </c>
      <c r="G101" s="24" t="s">
        <v>246</v>
      </c>
    </row>
    <row r="102" customFormat="false" ht="15" hidden="false" customHeight="false" outlineLevel="0" collapsed="false">
      <c r="A102" s="12" t="s">
        <v>247</v>
      </c>
      <c r="B102" s="3" t="s">
        <v>63</v>
      </c>
      <c r="C102" s="25" t="n">
        <v>0.03</v>
      </c>
      <c r="G102" s="24" t="s">
        <v>71</v>
      </c>
    </row>
    <row r="103" customFormat="false" ht="15" hidden="false" customHeight="false" outlineLevel="0" collapsed="false">
      <c r="A103" s="12" t="s">
        <v>248</v>
      </c>
      <c r="B103" s="3" t="s">
        <v>63</v>
      </c>
      <c r="C103" s="25" t="n">
        <v>0.007</v>
      </c>
      <c r="G103" s="24" t="s">
        <v>249</v>
      </c>
    </row>
    <row r="104" customFormat="false" ht="15" hidden="false" customHeight="false" outlineLevel="0" collapsed="false">
      <c r="A104" s="12" t="s">
        <v>250</v>
      </c>
      <c r="B104" s="3" t="s">
        <v>121</v>
      </c>
      <c r="C104" s="29" t="n">
        <v>20</v>
      </c>
      <c r="G104" s="24" t="s">
        <v>251</v>
      </c>
    </row>
    <row r="105" customFormat="false" ht="15" hidden="false" customHeight="false" outlineLevel="0" collapsed="false">
      <c r="A105" s="12" t="s">
        <v>252</v>
      </c>
      <c r="B105" s="3" t="s">
        <v>135</v>
      </c>
      <c r="C105" s="37" t="n">
        <v>9500</v>
      </c>
      <c r="G105" s="24" t="s">
        <v>253</v>
      </c>
    </row>
    <row r="106" customFormat="false" ht="15" hidden="false" customHeight="false" outlineLevel="0" collapsed="false">
      <c r="A106" s="12" t="s">
        <v>254</v>
      </c>
      <c r="B106" s="3" t="s">
        <v>255</v>
      </c>
      <c r="C106" s="27" t="n">
        <v>12500</v>
      </c>
      <c r="G106" s="24" t="s">
        <v>71</v>
      </c>
    </row>
    <row r="107" customFormat="false" ht="15" hidden="false" customHeight="false" outlineLevel="0" collapsed="false">
      <c r="A107" s="12" t="s">
        <v>256</v>
      </c>
      <c r="B107" s="3" t="s">
        <v>123</v>
      </c>
      <c r="C107" s="27" t="n">
        <v>150</v>
      </c>
      <c r="G107" s="24" t="s">
        <v>71</v>
      </c>
    </row>
    <row r="108" customFormat="false" ht="15" hidden="false" customHeight="false" outlineLevel="0" collapsed="false">
      <c r="A108" s="12" t="s">
        <v>257</v>
      </c>
      <c r="B108" s="3" t="s">
        <v>255</v>
      </c>
      <c r="C108" s="27" t="n">
        <v>4000</v>
      </c>
      <c r="G108" s="24" t="s">
        <v>71</v>
      </c>
    </row>
    <row r="109" customFormat="false" ht="15" hidden="false" customHeight="false" outlineLevel="0" collapsed="false">
      <c r="A109" s="12" t="s">
        <v>258</v>
      </c>
      <c r="B109" s="3" t="s">
        <v>259</v>
      </c>
      <c r="C109" s="29" t="n">
        <v>12</v>
      </c>
      <c r="G109" s="24" t="s">
        <v>71</v>
      </c>
    </row>
    <row r="110" customFormat="false" ht="15" hidden="false" customHeight="false" outlineLevel="0" collapsed="false">
      <c r="A110" s="12" t="s">
        <v>260</v>
      </c>
      <c r="B110" s="3" t="s">
        <v>60</v>
      </c>
      <c r="C110" s="25" t="n">
        <v>0.4</v>
      </c>
      <c r="G110" s="24" t="s">
        <v>261</v>
      </c>
    </row>
    <row r="111" customFormat="false" ht="15" hidden="false" customHeight="false" outlineLevel="0" collapsed="false">
      <c r="A111" s="12" t="s">
        <v>262</v>
      </c>
      <c r="B111" s="3" t="s">
        <v>255</v>
      </c>
      <c r="C111" s="27" t="n">
        <v>40000</v>
      </c>
      <c r="G111" s="24" t="s">
        <v>263</v>
      </c>
    </row>
    <row r="112" customFormat="false" ht="15" hidden="false" customHeight="false" outlineLevel="0" collapsed="false">
      <c r="A112" s="12" t="s">
        <v>264</v>
      </c>
      <c r="B112" s="3" t="s">
        <v>255</v>
      </c>
      <c r="C112" s="27" t="n">
        <v>50000</v>
      </c>
      <c r="G112" s="24" t="s">
        <v>265</v>
      </c>
    </row>
    <row r="114" customFormat="false" ht="18" hidden="false" customHeight="true" outlineLevel="0" collapsed="false">
      <c r="A114" s="6" t="s">
        <v>266</v>
      </c>
      <c r="B114" s="7"/>
      <c r="C114" s="7"/>
      <c r="D114" s="7"/>
      <c r="E114" s="7"/>
      <c r="F114" s="7"/>
      <c r="G114" s="7"/>
    </row>
    <row r="115" customFormat="false" ht="15" hidden="false" customHeight="false" outlineLevel="0" collapsed="false">
      <c r="A115" s="12" t="s">
        <v>267</v>
      </c>
      <c r="B115" s="3" t="s">
        <v>93</v>
      </c>
      <c r="C115" s="41" t="n">
        <v>0.4</v>
      </c>
      <c r="G115" s="24" t="s">
        <v>268</v>
      </c>
    </row>
    <row r="116" customFormat="false" ht="15" hidden="false" customHeight="false" outlineLevel="0" collapsed="false">
      <c r="A116" s="12" t="s">
        <v>269</v>
      </c>
      <c r="B116" s="3" t="s">
        <v>93</v>
      </c>
      <c r="C116" s="41" t="n">
        <v>0.6</v>
      </c>
      <c r="G116" s="24" t="s">
        <v>268</v>
      </c>
    </row>
    <row r="117" customFormat="false" ht="15" hidden="false" customHeight="false" outlineLevel="0" collapsed="false">
      <c r="A117" s="12" t="s">
        <v>270</v>
      </c>
      <c r="B117" s="3" t="s">
        <v>271</v>
      </c>
      <c r="C117" s="38" t="n">
        <v>50</v>
      </c>
      <c r="G117" s="24" t="s">
        <v>268</v>
      </c>
    </row>
    <row r="118" customFormat="false" ht="15" hidden="false" customHeight="false" outlineLevel="0" collapsed="false">
      <c r="A118" s="12" t="s">
        <v>272</v>
      </c>
      <c r="B118" s="3" t="s">
        <v>135</v>
      </c>
      <c r="C118" s="27" t="n">
        <v>935</v>
      </c>
      <c r="G118" s="24" t="s">
        <v>176</v>
      </c>
    </row>
    <row r="119" customFormat="false" ht="15" hidden="false" customHeight="false" outlineLevel="0" collapsed="false">
      <c r="A119" s="12" t="s">
        <v>273</v>
      </c>
      <c r="B119" s="3" t="s">
        <v>135</v>
      </c>
      <c r="C119" s="37" t="n">
        <v>900</v>
      </c>
      <c r="G119" s="24" t="s">
        <v>274</v>
      </c>
    </row>
    <row r="120" customFormat="false" ht="15" hidden="false" customHeight="false" outlineLevel="0" collapsed="false">
      <c r="A120" s="12" t="s">
        <v>275</v>
      </c>
      <c r="B120" s="3" t="s">
        <v>135</v>
      </c>
      <c r="C120" s="27" t="n">
        <v>1165</v>
      </c>
      <c r="G120" s="24" t="s">
        <v>276</v>
      </c>
    </row>
    <row r="121" customFormat="false" ht="15" hidden="false" customHeight="false" outlineLevel="0" collapsed="false">
      <c r="A121" s="12" t="s">
        <v>277</v>
      </c>
      <c r="B121" s="3" t="s">
        <v>278</v>
      </c>
      <c r="C121" s="29" t="n">
        <v>350</v>
      </c>
      <c r="G121" s="24" t="s">
        <v>279</v>
      </c>
    </row>
    <row r="122" customFormat="false" ht="15" hidden="false" customHeight="false" outlineLevel="0" collapsed="false">
      <c r="A122" s="12" t="s">
        <v>280</v>
      </c>
      <c r="B122" s="3" t="s">
        <v>281</v>
      </c>
      <c r="C122" s="27" t="n">
        <v>15000</v>
      </c>
      <c r="G122" s="24" t="s">
        <v>282</v>
      </c>
    </row>
    <row r="123" customFormat="false" ht="15" hidden="false" customHeight="false" outlineLevel="0" collapsed="false">
      <c r="A123" s="12" t="s">
        <v>283</v>
      </c>
      <c r="B123" s="3" t="s">
        <v>284</v>
      </c>
      <c r="C123" s="27" t="n">
        <v>75000</v>
      </c>
      <c r="G123" s="24" t="s">
        <v>285</v>
      </c>
    </row>
    <row r="124" customFormat="false" ht="15" hidden="false" customHeight="false" outlineLevel="0" collapsed="false">
      <c r="A124" s="12" t="s">
        <v>286</v>
      </c>
      <c r="B124" s="3" t="s">
        <v>284</v>
      </c>
      <c r="C124" s="27" t="n">
        <v>150000</v>
      </c>
      <c r="G124" s="24" t="s">
        <v>287</v>
      </c>
    </row>
    <row r="125" customFormat="false" ht="15" hidden="false" customHeight="false" outlineLevel="0" collapsed="false">
      <c r="A125" s="12" t="s">
        <v>288</v>
      </c>
      <c r="B125" s="3" t="s">
        <v>284</v>
      </c>
      <c r="C125" s="27" t="n">
        <v>400000</v>
      </c>
      <c r="G125" s="24" t="s">
        <v>289</v>
      </c>
    </row>
    <row r="126" customFormat="false" ht="15" hidden="false" customHeight="false" outlineLevel="0" collapsed="false">
      <c r="A126" s="12" t="s">
        <v>290</v>
      </c>
      <c r="B126" s="3" t="s">
        <v>60</v>
      </c>
      <c r="C126" s="23" t="n">
        <v>0.5</v>
      </c>
      <c r="G126" s="24" t="s">
        <v>291</v>
      </c>
    </row>
    <row r="127" customFormat="false" ht="15" hidden="false" customHeight="false" outlineLevel="0" collapsed="false">
      <c r="A127" s="12" t="s">
        <v>292</v>
      </c>
      <c r="B127" s="3" t="s">
        <v>60</v>
      </c>
      <c r="C127" s="23" t="n">
        <v>0.1</v>
      </c>
      <c r="G127" s="24" t="s">
        <v>291</v>
      </c>
    </row>
    <row r="128" customFormat="false" ht="15" hidden="false" customHeight="false" outlineLevel="0" collapsed="false">
      <c r="A128" s="12" t="s">
        <v>293</v>
      </c>
      <c r="B128" s="3" t="s">
        <v>60</v>
      </c>
      <c r="C128" s="25" t="n">
        <v>0.03</v>
      </c>
      <c r="G128" s="24" t="s">
        <v>294</v>
      </c>
    </row>
    <row r="129" customFormat="false" ht="15" hidden="false" customHeight="false" outlineLevel="0" collapsed="false">
      <c r="A129" s="12" t="s">
        <v>295</v>
      </c>
      <c r="B129" s="3" t="s">
        <v>271</v>
      </c>
      <c r="C129" s="29" t="n">
        <v>1100</v>
      </c>
      <c r="G129" s="24" t="s">
        <v>296</v>
      </c>
    </row>
  </sheetData>
  <dataValidations count="3">
    <dataValidation allowBlank="false" errorStyle="stop" operator="between" showDropDown="false" showErrorMessage="false" showInputMessage="false" sqref="C3" type="list">
      <formula1>"Conservative,Base,Optimistic"</formula1>
      <formula2>0</formula2>
    </dataValidation>
    <dataValidation allowBlank="false" errorStyle="stop" operator="between" showDropDown="false" showErrorMessage="false" showInputMessage="false" sqref="C27" type="list">
      <formula1>"Bituminous,PQC"</formula1>
      <formula2>0</formula2>
    </dataValidation>
    <dataValidation allowBlank="false" errorStyle="stop" operator="between" showDropDown="false" showErrorMessage="false" showInputMessage="false" sqref="C95" type="list">
      <formula1>"Jamnagar,Navi Mumbai"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19" t="s">
        <v>297</v>
      </c>
    </row>
    <row r="2" customFormat="false" ht="15" hidden="false" customHeight="false" outlineLevel="0" collapsed="false">
      <c r="A2" s="20" t="s">
        <v>298</v>
      </c>
    </row>
    <row r="4" customFormat="false" ht="18" hidden="false" customHeight="true" outlineLevel="0" collapsed="false">
      <c r="A4" s="6" t="s">
        <v>299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8" t="s">
        <v>300</v>
      </c>
      <c r="B5" s="9" t="s">
        <v>301</v>
      </c>
      <c r="C5" s="9" t="s">
        <v>53</v>
      </c>
      <c r="D5" s="9" t="s">
        <v>302</v>
      </c>
      <c r="E5" s="9" t="s">
        <v>135</v>
      </c>
      <c r="F5" s="9" t="s">
        <v>303</v>
      </c>
    </row>
    <row r="6" customFormat="false" ht="15" hidden="false" customHeight="false" outlineLevel="0" collapsed="false">
      <c r="A6" s="12" t="s">
        <v>189</v>
      </c>
      <c r="B6" s="28" t="n">
        <v>1</v>
      </c>
      <c r="C6" s="3" t="s">
        <v>271</v>
      </c>
      <c r="D6" s="42" t="n">
        <f aca="false">SubgradeRate</f>
        <v>60</v>
      </c>
      <c r="E6" s="43" t="n">
        <f aca="false">B6*D6</f>
        <v>60</v>
      </c>
      <c r="F6" s="3" t="s">
        <v>304</v>
      </c>
    </row>
    <row r="7" customFormat="false" ht="15" hidden="false" customHeight="false" outlineLevel="0" collapsed="false">
      <c r="A7" s="12" t="s">
        <v>305</v>
      </c>
      <c r="B7" s="28" t="n">
        <v>0.2</v>
      </c>
      <c r="C7" s="3" t="s">
        <v>306</v>
      </c>
      <c r="D7" s="42" t="n">
        <f aca="false">GSBRate</f>
        <v>1400</v>
      </c>
      <c r="E7" s="43" t="n">
        <f aca="false">B7*D7</f>
        <v>280</v>
      </c>
      <c r="F7" s="3" t="s">
        <v>307</v>
      </c>
    </row>
    <row r="8" customFormat="false" ht="15" hidden="false" customHeight="false" outlineLevel="0" collapsed="false">
      <c r="A8" s="12" t="s">
        <v>308</v>
      </c>
      <c r="B8" s="28" t="n">
        <v>0.15</v>
      </c>
      <c r="C8" s="3" t="s">
        <v>306</v>
      </c>
      <c r="D8" s="42" t="n">
        <f aca="false">WMMRate</f>
        <v>1900</v>
      </c>
      <c r="E8" s="43" t="n">
        <f aca="false">B8*D8</f>
        <v>285</v>
      </c>
      <c r="F8" s="3" t="s">
        <v>309</v>
      </c>
    </row>
    <row r="9" customFormat="false" ht="15" hidden="false" customHeight="false" outlineLevel="0" collapsed="false">
      <c r="A9" s="12" t="s">
        <v>310</v>
      </c>
      <c r="B9" s="28" t="n">
        <v>0.025</v>
      </c>
      <c r="C9" s="3" t="s">
        <v>306</v>
      </c>
      <c r="D9" s="42" t="n">
        <f aca="false">SandRate</f>
        <v>1800</v>
      </c>
      <c r="E9" s="43" t="n">
        <f aca="false">B9*D9</f>
        <v>45</v>
      </c>
      <c r="F9" s="3"/>
    </row>
    <row r="10" customFormat="false" ht="15" hidden="false" customHeight="false" outlineLevel="0" collapsed="false">
      <c r="A10" s="12" t="s">
        <v>311</v>
      </c>
      <c r="B10" s="28" t="n">
        <v>1</v>
      </c>
      <c r="C10" s="3" t="s">
        <v>271</v>
      </c>
      <c r="D10" s="42" t="n">
        <f aca="false">Geotex</f>
        <v>55</v>
      </c>
      <c r="E10" s="43" t="n">
        <f aca="false">B10*D10</f>
        <v>55</v>
      </c>
      <c r="F10" s="3" t="s">
        <v>312</v>
      </c>
    </row>
    <row r="11" customFormat="false" ht="15" hidden="false" customHeight="false" outlineLevel="0" collapsed="false">
      <c r="A11" s="12" t="s">
        <v>313</v>
      </c>
      <c r="B11" s="28" t="n">
        <v>1</v>
      </c>
      <c r="C11" s="3" t="s">
        <v>271</v>
      </c>
      <c r="D11" s="42" t="n">
        <f aca="false">GridHD</f>
        <v>900</v>
      </c>
      <c r="E11" s="43" t="n">
        <f aca="false">B11*D11</f>
        <v>900</v>
      </c>
      <c r="F11" s="3" t="s">
        <v>314</v>
      </c>
    </row>
    <row r="12" customFormat="false" ht="15" hidden="false" customHeight="false" outlineLevel="0" collapsed="false">
      <c r="A12" s="12" t="s">
        <v>315</v>
      </c>
      <c r="B12" s="28" t="n">
        <v>1</v>
      </c>
      <c r="C12" s="3" t="s">
        <v>271</v>
      </c>
      <c r="D12" s="42" t="n">
        <f aca="false">Freight</f>
        <v>60</v>
      </c>
      <c r="E12" s="43" t="n">
        <f aca="false">B12*D12</f>
        <v>60</v>
      </c>
      <c r="F12" s="3" t="s">
        <v>316</v>
      </c>
    </row>
    <row r="13" customFormat="false" ht="15" hidden="false" customHeight="false" outlineLevel="0" collapsed="false">
      <c r="A13" s="12" t="s">
        <v>182</v>
      </c>
      <c r="B13" s="28" t="n">
        <v>1</v>
      </c>
      <c r="C13" s="3" t="s">
        <v>271</v>
      </c>
      <c r="D13" s="42" t="n">
        <f aca="false">LayLab</f>
        <v>60</v>
      </c>
      <c r="E13" s="43" t="n">
        <f aca="false">B13*D13</f>
        <v>60</v>
      </c>
      <c r="F13" s="3" t="s">
        <v>317</v>
      </c>
    </row>
    <row r="14" customFormat="false" ht="15" hidden="false" customHeight="false" outlineLevel="0" collapsed="false">
      <c r="A14" s="12" t="s">
        <v>318</v>
      </c>
      <c r="B14" s="44" t="n">
        <f aca="false">NailDensity</f>
        <v>0.4</v>
      </c>
      <c r="C14" s="3" t="s">
        <v>319</v>
      </c>
      <c r="D14" s="42" t="n">
        <f aca="false">NailPrice</f>
        <v>8</v>
      </c>
      <c r="E14" s="43" t="n">
        <f aca="false">B14*D14</f>
        <v>3.2</v>
      </c>
      <c r="F14" s="3" t="s">
        <v>320</v>
      </c>
    </row>
    <row r="15" customFormat="false" ht="15" hidden="false" customHeight="false" outlineLevel="0" collapsed="false">
      <c r="A15" s="12" t="s">
        <v>321</v>
      </c>
      <c r="B15" s="28" t="n">
        <v>1</v>
      </c>
      <c r="C15" s="3" t="s">
        <v>271</v>
      </c>
      <c r="D15" s="42" t="n">
        <f aca="false">CTGInfill</f>
        <v>253</v>
      </c>
      <c r="E15" s="43" t="n">
        <f aca="false">B15*D15</f>
        <v>253</v>
      </c>
      <c r="F15" s="3" t="s">
        <v>322</v>
      </c>
    </row>
    <row r="16" customFormat="false" ht="15" hidden="false" customHeight="false" outlineLevel="0" collapsed="false">
      <c r="A16" s="12" t="s">
        <v>323</v>
      </c>
      <c r="B16" s="28" t="n">
        <v>1</v>
      </c>
      <c r="C16" s="3" t="s">
        <v>271</v>
      </c>
      <c r="D16" s="42" t="n">
        <f aca="false">S1Edges</f>
        <v>28</v>
      </c>
      <c r="E16" s="43" t="n">
        <f aca="false">B16*D16</f>
        <v>28</v>
      </c>
      <c r="F16" s="3"/>
    </row>
    <row r="17" customFormat="false" ht="15" hidden="false" customHeight="false" outlineLevel="0" collapsed="false">
      <c r="A17" s="4" t="s">
        <v>324</v>
      </c>
      <c r="E17" s="45" t="n">
        <f aca="false">SUM(E6:E16)</f>
        <v>2029.2</v>
      </c>
      <c r="F17" s="3" t="s">
        <v>325</v>
      </c>
    </row>
    <row r="19" customFormat="false" ht="18" hidden="false" customHeight="true" outlineLevel="0" collapsed="false">
      <c r="A19" s="6" t="s">
        <v>326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8" t="s">
        <v>300</v>
      </c>
      <c r="B20" s="9" t="s">
        <v>301</v>
      </c>
      <c r="C20" s="9" t="s">
        <v>53</v>
      </c>
      <c r="D20" s="9" t="s">
        <v>302</v>
      </c>
      <c r="E20" s="9" t="s">
        <v>135</v>
      </c>
      <c r="F20" s="9" t="s">
        <v>303</v>
      </c>
    </row>
    <row r="21" customFormat="false" ht="15" hidden="false" customHeight="false" outlineLevel="0" collapsed="false">
      <c r="A21" s="12" t="s">
        <v>189</v>
      </c>
      <c r="B21" s="28" t="n">
        <v>1</v>
      </c>
      <c r="C21" s="3" t="s">
        <v>271</v>
      </c>
      <c r="D21" s="42" t="n">
        <f aca="false">SubgradeRate</f>
        <v>60</v>
      </c>
      <c r="E21" s="43" t="n">
        <f aca="false">B21*D21</f>
        <v>60</v>
      </c>
      <c r="F21" s="3"/>
    </row>
    <row r="22" customFormat="false" ht="15" hidden="false" customHeight="false" outlineLevel="0" collapsed="false">
      <c r="A22" s="12" t="s">
        <v>327</v>
      </c>
      <c r="B22" s="28" t="n">
        <v>0.1</v>
      </c>
      <c r="C22" s="3" t="s">
        <v>306</v>
      </c>
      <c r="D22" s="42" t="n">
        <f aca="false">GSBRate</f>
        <v>1400</v>
      </c>
      <c r="E22" s="43" t="n">
        <f aca="false">B22*D22</f>
        <v>140</v>
      </c>
      <c r="F22" s="3" t="s">
        <v>328</v>
      </c>
    </row>
    <row r="23" customFormat="false" ht="15" hidden="false" customHeight="false" outlineLevel="0" collapsed="false">
      <c r="A23" s="12" t="s">
        <v>308</v>
      </c>
      <c r="B23" s="28" t="n">
        <v>0.15</v>
      </c>
      <c r="C23" s="3" t="s">
        <v>306</v>
      </c>
      <c r="D23" s="42" t="n">
        <f aca="false">WMMRate</f>
        <v>1900</v>
      </c>
      <c r="E23" s="43" t="n">
        <f aca="false">B23*D23</f>
        <v>285</v>
      </c>
      <c r="F23" s="3" t="s">
        <v>329</v>
      </c>
    </row>
    <row r="24" customFormat="false" ht="15" hidden="false" customHeight="false" outlineLevel="0" collapsed="false">
      <c r="A24" s="12" t="s">
        <v>330</v>
      </c>
      <c r="B24" s="28" t="n">
        <v>0.02</v>
      </c>
      <c r="C24" s="3" t="s">
        <v>306</v>
      </c>
      <c r="D24" s="42" t="n">
        <f aca="false">SandRate</f>
        <v>1800</v>
      </c>
      <c r="E24" s="43" t="n">
        <f aca="false">B24*D24</f>
        <v>36</v>
      </c>
      <c r="F24" s="3"/>
    </row>
    <row r="25" customFormat="false" ht="15" hidden="false" customHeight="false" outlineLevel="0" collapsed="false">
      <c r="A25" s="12" t="s">
        <v>311</v>
      </c>
      <c r="B25" s="28" t="n">
        <v>1</v>
      </c>
      <c r="C25" s="3" t="s">
        <v>271</v>
      </c>
      <c r="D25" s="42" t="n">
        <f aca="false">Geotex</f>
        <v>55</v>
      </c>
      <c r="E25" s="43" t="n">
        <f aca="false">B25*D25</f>
        <v>55</v>
      </c>
      <c r="F25" s="3"/>
    </row>
    <row r="26" customFormat="false" ht="15" hidden="false" customHeight="false" outlineLevel="0" collapsed="false">
      <c r="A26" s="12" t="s">
        <v>313</v>
      </c>
      <c r="B26" s="28" t="n">
        <v>1</v>
      </c>
      <c r="C26" s="3" t="s">
        <v>271</v>
      </c>
      <c r="D26" s="42" t="n">
        <f aca="false">GridHD</f>
        <v>900</v>
      </c>
      <c r="E26" s="43" t="n">
        <f aca="false">B26*D26</f>
        <v>900</v>
      </c>
      <c r="F26" s="3" t="s">
        <v>314</v>
      </c>
    </row>
    <row r="27" customFormat="false" ht="15" hidden="false" customHeight="false" outlineLevel="0" collapsed="false">
      <c r="A27" s="12" t="s">
        <v>315</v>
      </c>
      <c r="B27" s="28" t="n">
        <v>1</v>
      </c>
      <c r="C27" s="3" t="s">
        <v>271</v>
      </c>
      <c r="D27" s="42" t="n">
        <f aca="false">Freight</f>
        <v>60</v>
      </c>
      <c r="E27" s="43" t="n">
        <f aca="false">B27*D27</f>
        <v>60</v>
      </c>
      <c r="F27" s="3" t="s">
        <v>316</v>
      </c>
    </row>
    <row r="28" customFormat="false" ht="15" hidden="false" customHeight="false" outlineLevel="0" collapsed="false">
      <c r="A28" s="12" t="s">
        <v>182</v>
      </c>
      <c r="B28" s="28" t="n">
        <v>1</v>
      </c>
      <c r="C28" s="3" t="s">
        <v>271</v>
      </c>
      <c r="D28" s="42" t="n">
        <f aca="false">LayLab</f>
        <v>60</v>
      </c>
      <c r="E28" s="43" t="n">
        <f aca="false">B28*D28</f>
        <v>60</v>
      </c>
      <c r="F28" s="3"/>
    </row>
    <row r="29" customFormat="false" ht="15" hidden="false" customHeight="false" outlineLevel="0" collapsed="false">
      <c r="A29" s="12" t="s">
        <v>318</v>
      </c>
      <c r="B29" s="44" t="n">
        <f aca="false">NailDensity</f>
        <v>0.4</v>
      </c>
      <c r="C29" s="3" t="s">
        <v>319</v>
      </c>
      <c r="D29" s="42" t="n">
        <f aca="false">NailPrice</f>
        <v>8</v>
      </c>
      <c r="E29" s="43" t="n">
        <f aca="false">B29*D29</f>
        <v>3.2</v>
      </c>
      <c r="F29" s="3"/>
    </row>
    <row r="30" customFormat="false" ht="15" hidden="false" customHeight="false" outlineLevel="0" collapsed="false">
      <c r="A30" s="12" t="s">
        <v>331</v>
      </c>
      <c r="B30" s="28" t="n">
        <v>0.037</v>
      </c>
      <c r="C30" s="3" t="s">
        <v>306</v>
      </c>
      <c r="D30" s="42" t="n">
        <f aca="false">ChipRate</f>
        <v>1900</v>
      </c>
      <c r="E30" s="43" t="n">
        <f aca="false">B30*D30</f>
        <v>70.3</v>
      </c>
      <c r="F30" s="3" t="s">
        <v>332</v>
      </c>
    </row>
    <row r="31" customFormat="false" ht="15" hidden="false" customHeight="false" outlineLevel="0" collapsed="false">
      <c r="A31" s="12" t="s">
        <v>333</v>
      </c>
      <c r="B31" s="28" t="n">
        <v>1</v>
      </c>
      <c r="C31" s="3" t="s">
        <v>271</v>
      </c>
      <c r="D31" s="42" t="n">
        <f aca="false">S2Edges</f>
        <v>12</v>
      </c>
      <c r="E31" s="43" t="n">
        <f aca="false">B31*D31</f>
        <v>12</v>
      </c>
      <c r="F31" s="3"/>
    </row>
    <row r="32" customFormat="false" ht="15" hidden="false" customHeight="false" outlineLevel="0" collapsed="false">
      <c r="A32" s="4" t="s">
        <v>324</v>
      </c>
      <c r="E32" s="45" t="n">
        <f aca="false">SUM(E21:E31)</f>
        <v>1681.5</v>
      </c>
      <c r="F32" s="3" t="s">
        <v>334</v>
      </c>
    </row>
    <row r="33" customFormat="false" ht="15" hidden="false" customHeight="false" outlineLevel="0" collapsed="false">
      <c r="A33" s="12" t="s">
        <v>335</v>
      </c>
      <c r="E33" s="43" t="n">
        <f aca="false">S2_Capex-GridHD+GridLW</f>
        <v>1331.5</v>
      </c>
      <c r="F33" s="3" t="s">
        <v>336</v>
      </c>
    </row>
    <row r="36" customFormat="false" ht="18" hidden="false" customHeight="true" outlineLevel="0" collapsed="false">
      <c r="A36" s="6" t="s">
        <v>337</v>
      </c>
      <c r="B36" s="7"/>
      <c r="C36" s="7"/>
      <c r="D36" s="7"/>
      <c r="E36" s="7"/>
      <c r="F36" s="7"/>
    </row>
    <row r="37" customFormat="false" ht="15" hidden="false" customHeight="false" outlineLevel="0" collapsed="false">
      <c r="A37" s="8" t="s">
        <v>300</v>
      </c>
      <c r="B37" s="9" t="s">
        <v>301</v>
      </c>
      <c r="C37" s="9" t="s">
        <v>53</v>
      </c>
      <c r="D37" s="9" t="s">
        <v>302</v>
      </c>
      <c r="E37" s="9" t="s">
        <v>135</v>
      </c>
      <c r="F37" s="9" t="s">
        <v>303</v>
      </c>
    </row>
    <row r="38" customFormat="false" ht="15" hidden="false" customHeight="false" outlineLevel="0" collapsed="false">
      <c r="A38" s="12" t="s">
        <v>189</v>
      </c>
      <c r="B38" s="28" t="n">
        <v>1</v>
      </c>
      <c r="C38" s="3" t="s">
        <v>271</v>
      </c>
      <c r="D38" s="42" t="n">
        <f aca="false">SubgradeRate</f>
        <v>60</v>
      </c>
      <c r="E38" s="43" t="n">
        <f aca="false">B38*D38</f>
        <v>60</v>
      </c>
      <c r="F38" s="3"/>
    </row>
    <row r="39" customFormat="false" ht="15" hidden="false" customHeight="false" outlineLevel="0" collapsed="false">
      <c r="A39" s="12" t="s">
        <v>338</v>
      </c>
      <c r="B39" s="28" t="n">
        <v>0.1</v>
      </c>
      <c r="C39" s="3" t="s">
        <v>306</v>
      </c>
      <c r="D39" s="42" t="n">
        <f aca="false">OGSBRate</f>
        <v>1600</v>
      </c>
      <c r="E39" s="43" t="n">
        <f aca="false">B39*D39</f>
        <v>160</v>
      </c>
      <c r="F39" s="3" t="s">
        <v>339</v>
      </c>
    </row>
    <row r="40" customFormat="false" ht="15" hidden="false" customHeight="false" outlineLevel="0" collapsed="false">
      <c r="A40" s="12" t="s">
        <v>330</v>
      </c>
      <c r="B40" s="28" t="n">
        <v>0.02</v>
      </c>
      <c r="C40" s="3" t="s">
        <v>306</v>
      </c>
      <c r="D40" s="42" t="n">
        <f aca="false">SandRate</f>
        <v>1800</v>
      </c>
      <c r="E40" s="43" t="n">
        <f aca="false">B40*D40</f>
        <v>36</v>
      </c>
      <c r="F40" s="3"/>
    </row>
    <row r="41" customFormat="false" ht="15" hidden="false" customHeight="false" outlineLevel="0" collapsed="false">
      <c r="A41" s="12" t="s">
        <v>340</v>
      </c>
      <c r="B41" s="28" t="n">
        <v>1</v>
      </c>
      <c r="C41" s="3" t="s">
        <v>271</v>
      </c>
      <c r="D41" s="42" t="n">
        <f aca="false">GridLWSmall</f>
        <v>690</v>
      </c>
      <c r="E41" s="43" t="n">
        <f aca="false">B41*D41</f>
        <v>690</v>
      </c>
      <c r="F41" s="3" t="s">
        <v>341</v>
      </c>
    </row>
    <row r="42" customFormat="false" ht="15" hidden="false" customHeight="false" outlineLevel="0" collapsed="false">
      <c r="A42" s="12" t="s">
        <v>342</v>
      </c>
      <c r="B42" s="28" t="n">
        <v>1</v>
      </c>
      <c r="C42" s="3" t="s">
        <v>271</v>
      </c>
      <c r="D42" s="42" t="n">
        <f aca="false">Freight</f>
        <v>60</v>
      </c>
      <c r="E42" s="43" t="n">
        <f aca="false">B42*D42</f>
        <v>60</v>
      </c>
      <c r="F42" s="3"/>
    </row>
    <row r="43" customFormat="false" ht="15" hidden="false" customHeight="false" outlineLevel="0" collapsed="false">
      <c r="A43" s="12" t="s">
        <v>182</v>
      </c>
      <c r="B43" s="28" t="n">
        <v>1</v>
      </c>
      <c r="C43" s="3" t="s">
        <v>271</v>
      </c>
      <c r="D43" s="42" t="n">
        <f aca="false">LayLab</f>
        <v>60</v>
      </c>
      <c r="E43" s="43" t="n">
        <f aca="false">B43*D43</f>
        <v>60</v>
      </c>
      <c r="F43" s="3"/>
    </row>
    <row r="44" customFormat="false" ht="15" hidden="false" customHeight="false" outlineLevel="0" collapsed="false">
      <c r="A44" s="12" t="s">
        <v>333</v>
      </c>
      <c r="B44" s="28" t="n">
        <v>1</v>
      </c>
      <c r="C44" s="3" t="s">
        <v>271</v>
      </c>
      <c r="D44" s="42" t="n">
        <f aca="false">S2Edges</f>
        <v>12</v>
      </c>
      <c r="E44" s="43" t="n">
        <f aca="false">B44*D44</f>
        <v>12</v>
      </c>
      <c r="F44" s="3"/>
    </row>
    <row r="45" customFormat="false" ht="15" hidden="false" customHeight="false" outlineLevel="0" collapsed="false">
      <c r="A45" s="4" t="s">
        <v>324</v>
      </c>
      <c r="E45" s="45" t="n">
        <f aca="false">SUM(E38:E44)</f>
        <v>1078</v>
      </c>
      <c r="F45" s="3" t="s">
        <v>343</v>
      </c>
    </row>
    <row r="46" customFormat="false" ht="15" hidden="false" customHeight="false" outlineLevel="0" collapsed="false">
      <c r="A46" s="12" t="s">
        <v>344</v>
      </c>
      <c r="E46" s="42" t="n">
        <f aca="false">SolarLayer</f>
        <v>9500</v>
      </c>
    </row>
    <row r="47" customFormat="false" ht="15" hidden="false" customHeight="false" outlineLevel="0" collapsed="false">
      <c r="A47" s="12" t="s">
        <v>254</v>
      </c>
      <c r="E47" s="43" t="n">
        <f aca="false">BOS*PowerDens/1000</f>
        <v>2000</v>
      </c>
      <c r="F47" s="3" t="s">
        <v>345</v>
      </c>
    </row>
    <row r="48" customFormat="false" ht="15" hidden="false" customHeight="false" outlineLevel="0" collapsed="false">
      <c r="A48" s="4" t="s">
        <v>346</v>
      </c>
      <c r="E48" s="45" t="n">
        <f aca="false">WkBase+E46+E47</f>
        <v>12578</v>
      </c>
    </row>
    <row r="49" customFormat="false" ht="15" hidden="false" customHeight="false" outlineLevel="0" collapsed="false">
      <c r="A49" s="12" t="s">
        <v>347</v>
      </c>
      <c r="E49" s="43" t="n">
        <f aca="false">(SolarLayer+BOS*PowerDens/1000)/(PowerDens/1000)</f>
        <v>71875</v>
      </c>
      <c r="F49" s="3" t="s">
        <v>348</v>
      </c>
    </row>
    <row r="52" customFormat="false" ht="18" hidden="false" customHeight="true" outlineLevel="0" collapsed="false">
      <c r="A52" s="6" t="s">
        <v>349</v>
      </c>
      <c r="B52" s="7"/>
      <c r="C52" s="7"/>
      <c r="D52" s="7"/>
      <c r="E52" s="7"/>
      <c r="F52" s="7"/>
    </row>
    <row r="53" customFormat="false" ht="15" hidden="false" customHeight="false" outlineLevel="0" collapsed="false">
      <c r="A53" s="8" t="s">
        <v>350</v>
      </c>
      <c r="B53" s="9"/>
      <c r="C53" s="9"/>
      <c r="D53" s="9"/>
      <c r="E53" s="9" t="s">
        <v>135</v>
      </c>
      <c r="F53" s="9" t="s">
        <v>351</v>
      </c>
    </row>
    <row r="54" customFormat="false" ht="15" hidden="false" customHeight="false" outlineLevel="0" collapsed="false">
      <c r="A54" s="12" t="s">
        <v>352</v>
      </c>
      <c r="E54" s="42" t="n">
        <f aca="false">WBM_Capex</f>
        <v>600</v>
      </c>
      <c r="F54" s="3" t="s">
        <v>353</v>
      </c>
    </row>
    <row r="55" customFormat="false" ht="15" hidden="false" customHeight="false" outlineLevel="0" collapsed="false">
      <c r="A55" s="12" t="s">
        <v>137</v>
      </c>
      <c r="E55" s="42" t="n">
        <f aca="false">BT_Capex</f>
        <v>2000</v>
      </c>
      <c r="F55" s="3" t="s">
        <v>354</v>
      </c>
    </row>
    <row r="56" customFormat="false" ht="15" hidden="false" customHeight="false" outlineLevel="0" collapsed="false">
      <c r="A56" s="12" t="s">
        <v>355</v>
      </c>
      <c r="E56" s="42" t="n">
        <f aca="false">PQC_Capex</f>
        <v>3200</v>
      </c>
      <c r="F56" s="3" t="s">
        <v>356</v>
      </c>
    </row>
    <row r="57" customFormat="false" ht="15" hidden="false" customHeight="false" outlineLevel="0" collapsed="false">
      <c r="A57" s="12" t="s">
        <v>357</v>
      </c>
      <c r="E57" s="42" t="n">
        <f aca="false">Paver_Capex</f>
        <v>1100</v>
      </c>
      <c r="F57" s="3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AC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28" min="3" style="0" width="9"/>
    <col collapsed="false" customWidth="true" hidden="false" outlineLevel="0" max="29" min="29" style="0" width="12"/>
  </cols>
  <sheetData>
    <row r="1" customFormat="false" ht="25.5" hidden="false" customHeight="true" outlineLevel="0" collapsed="false">
      <c r="A1" s="19" t="s">
        <v>359</v>
      </c>
    </row>
    <row r="2" customFormat="false" ht="15" hidden="false" customHeight="false" outlineLevel="0" collapsed="false">
      <c r="A2" s="20" t="s">
        <v>360</v>
      </c>
    </row>
    <row r="5" customFormat="false" ht="15" hidden="false" customHeight="false" outlineLevel="0" collapsed="false">
      <c r="A5" s="4" t="s">
        <v>361</v>
      </c>
      <c r="C5" s="46" t="n">
        <v>0</v>
      </c>
      <c r="D5" s="46" t="n">
        <v>1</v>
      </c>
      <c r="E5" s="46" t="n">
        <v>2</v>
      </c>
      <c r="F5" s="46" t="n">
        <v>3</v>
      </c>
      <c r="G5" s="46" t="n">
        <v>4</v>
      </c>
      <c r="H5" s="46" t="n">
        <v>5</v>
      </c>
      <c r="I5" s="46" t="n">
        <v>6</v>
      </c>
      <c r="J5" s="46" t="n">
        <v>7</v>
      </c>
      <c r="K5" s="46" t="n">
        <v>8</v>
      </c>
      <c r="L5" s="46" t="n">
        <v>9</v>
      </c>
      <c r="M5" s="46" t="n">
        <v>10</v>
      </c>
      <c r="N5" s="46" t="n">
        <v>11</v>
      </c>
      <c r="O5" s="46" t="n">
        <v>12</v>
      </c>
      <c r="P5" s="46" t="n">
        <v>13</v>
      </c>
      <c r="Q5" s="46" t="n">
        <v>14</v>
      </c>
      <c r="R5" s="46" t="n">
        <v>15</v>
      </c>
      <c r="S5" s="46" t="n">
        <v>16</v>
      </c>
      <c r="T5" s="46" t="n">
        <v>17</v>
      </c>
      <c r="U5" s="46" t="n">
        <v>18</v>
      </c>
      <c r="V5" s="46" t="n">
        <v>19</v>
      </c>
      <c r="W5" s="46" t="n">
        <v>20</v>
      </c>
      <c r="X5" s="46" t="n">
        <v>21</v>
      </c>
      <c r="Y5" s="46" t="n">
        <v>22</v>
      </c>
      <c r="Z5" s="46" t="n">
        <v>23</v>
      </c>
      <c r="AA5" s="46" t="n">
        <v>24</v>
      </c>
      <c r="AB5" s="46" t="n">
        <v>25</v>
      </c>
      <c r="AC5" s="47" t="s">
        <v>362</v>
      </c>
    </row>
    <row r="6" customFormat="false" ht="15" hidden="false" customHeight="false" outlineLevel="0" collapsed="false">
      <c r="A6" s="12" t="s">
        <v>363</v>
      </c>
      <c r="C6" s="48" t="n">
        <f aca="false">1/(1+DiscRate)^C$5</f>
        <v>1</v>
      </c>
      <c r="D6" s="48" t="n">
        <f aca="false">1/(1+DiscRate)^D$5</f>
        <v>0.909090909090909</v>
      </c>
      <c r="E6" s="48" t="n">
        <f aca="false">1/(1+DiscRate)^E$5</f>
        <v>0.826446280991735</v>
      </c>
      <c r="F6" s="48" t="n">
        <f aca="false">1/(1+DiscRate)^F$5</f>
        <v>0.751314800901578</v>
      </c>
      <c r="G6" s="48" t="n">
        <f aca="false">1/(1+DiscRate)^G$5</f>
        <v>0.683013455365071</v>
      </c>
      <c r="H6" s="48" t="n">
        <f aca="false">1/(1+DiscRate)^H$5</f>
        <v>0.620921323059155</v>
      </c>
      <c r="I6" s="48" t="n">
        <f aca="false">1/(1+DiscRate)^I$5</f>
        <v>0.564473930053777</v>
      </c>
      <c r="J6" s="48" t="n">
        <f aca="false">1/(1+DiscRate)^J$5</f>
        <v>0.513158118230707</v>
      </c>
      <c r="K6" s="48" t="n">
        <f aca="false">1/(1+DiscRate)^K$5</f>
        <v>0.466507380209733</v>
      </c>
      <c r="L6" s="48" t="n">
        <f aca="false">1/(1+DiscRate)^L$5</f>
        <v>0.424097618372485</v>
      </c>
      <c r="M6" s="48" t="n">
        <f aca="false">1/(1+DiscRate)^M$5</f>
        <v>0.385543289429531</v>
      </c>
      <c r="N6" s="48" t="n">
        <f aca="false">1/(1+DiscRate)^N$5</f>
        <v>0.350493899481392</v>
      </c>
      <c r="O6" s="48" t="n">
        <f aca="false">1/(1+DiscRate)^O$5</f>
        <v>0.318630817710357</v>
      </c>
      <c r="P6" s="48" t="n">
        <f aca="false">1/(1+DiscRate)^P$5</f>
        <v>0.289664379736688</v>
      </c>
      <c r="Q6" s="48" t="n">
        <f aca="false">1/(1+DiscRate)^Q$5</f>
        <v>0.26333125430608</v>
      </c>
      <c r="R6" s="48" t="n">
        <f aca="false">1/(1+DiscRate)^R$5</f>
        <v>0.239392049369163</v>
      </c>
      <c r="S6" s="48" t="n">
        <f aca="false">1/(1+DiscRate)^S$5</f>
        <v>0.217629135790149</v>
      </c>
      <c r="T6" s="48" t="n">
        <f aca="false">1/(1+DiscRate)^T$5</f>
        <v>0.197844668900135</v>
      </c>
      <c r="U6" s="48" t="n">
        <f aca="false">1/(1+DiscRate)^U$5</f>
        <v>0.179858789909214</v>
      </c>
      <c r="V6" s="48" t="n">
        <f aca="false">1/(1+DiscRate)^V$5</f>
        <v>0.163507990826558</v>
      </c>
      <c r="W6" s="48" t="n">
        <f aca="false">1/(1+DiscRate)^W$5</f>
        <v>0.148643628024143</v>
      </c>
      <c r="X6" s="48" t="n">
        <f aca="false">1/(1+DiscRate)^X$5</f>
        <v>0.135130570931039</v>
      </c>
      <c r="Y6" s="48" t="n">
        <f aca="false">1/(1+DiscRate)^Y$5</f>
        <v>0.122845973573672</v>
      </c>
      <c r="Z6" s="48" t="n">
        <f aca="false">1/(1+DiscRate)^Z$5</f>
        <v>0.111678157794247</v>
      </c>
      <c r="AA6" s="48" t="n">
        <f aca="false">1/(1+DiscRate)^AA$5</f>
        <v>0.10152559799477</v>
      </c>
      <c r="AB6" s="48" t="n">
        <f aca="false">1/(1+DiscRate)^AB$5</f>
        <v>0.092295998177064</v>
      </c>
    </row>
    <row r="7" customFormat="false" ht="15" hidden="false" customHeight="false" outlineLevel="0" collapsed="false">
      <c r="A7" s="12" t="s">
        <v>364</v>
      </c>
      <c r="C7" s="48" t="n">
        <f aca="false">(1+CostEsc)^C$5</f>
        <v>1</v>
      </c>
      <c r="D7" s="48" t="n">
        <f aca="false">(1+CostEsc)^D$5</f>
        <v>1.05</v>
      </c>
      <c r="E7" s="48" t="n">
        <f aca="false">(1+CostEsc)^E$5</f>
        <v>1.1025</v>
      </c>
      <c r="F7" s="48" t="n">
        <f aca="false">(1+CostEsc)^F$5</f>
        <v>1.157625</v>
      </c>
      <c r="G7" s="48" t="n">
        <f aca="false">(1+CostEsc)^G$5</f>
        <v>1.21550625</v>
      </c>
      <c r="H7" s="48" t="n">
        <f aca="false">(1+CostEsc)^H$5</f>
        <v>1.2762815625</v>
      </c>
      <c r="I7" s="48" t="n">
        <f aca="false">(1+CostEsc)^I$5</f>
        <v>1.340095640625</v>
      </c>
      <c r="J7" s="48" t="n">
        <f aca="false">(1+CostEsc)^J$5</f>
        <v>1.40710042265625</v>
      </c>
      <c r="K7" s="48" t="n">
        <f aca="false">(1+CostEsc)^K$5</f>
        <v>1.47745544378906</v>
      </c>
      <c r="L7" s="48" t="n">
        <f aca="false">(1+CostEsc)^L$5</f>
        <v>1.55132821597852</v>
      </c>
      <c r="M7" s="48" t="n">
        <f aca="false">(1+CostEsc)^M$5</f>
        <v>1.62889462677744</v>
      </c>
      <c r="N7" s="48" t="n">
        <f aca="false">(1+CostEsc)^N$5</f>
        <v>1.71033935811631</v>
      </c>
      <c r="O7" s="48" t="n">
        <f aca="false">(1+CostEsc)^O$5</f>
        <v>1.79585632602213</v>
      </c>
      <c r="P7" s="48" t="n">
        <f aca="false">(1+CostEsc)^P$5</f>
        <v>1.88564914232324</v>
      </c>
      <c r="Q7" s="48" t="n">
        <f aca="false">(1+CostEsc)^Q$5</f>
        <v>1.9799315994394</v>
      </c>
      <c r="R7" s="48" t="n">
        <f aca="false">(1+CostEsc)^R$5</f>
        <v>2.07892817941137</v>
      </c>
      <c r="S7" s="48" t="n">
        <f aca="false">(1+CostEsc)^S$5</f>
        <v>2.18287458838194</v>
      </c>
      <c r="T7" s="48" t="n">
        <f aca="false">(1+CostEsc)^T$5</f>
        <v>2.29201831780103</v>
      </c>
      <c r="U7" s="48" t="n">
        <f aca="false">(1+CostEsc)^U$5</f>
        <v>2.40661923369109</v>
      </c>
      <c r="V7" s="48" t="n">
        <f aca="false">(1+CostEsc)^V$5</f>
        <v>2.52695019537564</v>
      </c>
      <c r="W7" s="48" t="n">
        <f aca="false">(1+CostEsc)^W$5</f>
        <v>2.65329770514442</v>
      </c>
      <c r="X7" s="48" t="n">
        <f aca="false">(1+CostEsc)^X$5</f>
        <v>2.78596259040164</v>
      </c>
      <c r="Y7" s="48" t="n">
        <f aca="false">(1+CostEsc)^Y$5</f>
        <v>2.92526071992173</v>
      </c>
      <c r="Z7" s="48" t="n">
        <f aca="false">(1+CostEsc)^Z$5</f>
        <v>3.07152375591781</v>
      </c>
      <c r="AA7" s="48" t="n">
        <f aca="false">(1+CostEsc)^AA$5</f>
        <v>3.2250999437137</v>
      </c>
      <c r="AB7" s="48" t="n">
        <f aca="false">(1+CostEsc)^AB$5</f>
        <v>3.38635494089939</v>
      </c>
    </row>
    <row r="9" customFormat="false" ht="18" hidden="false" customHeight="true" outlineLevel="0" collapsed="false">
      <c r="A9" s="6" t="s">
        <v>352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Format="false" ht="15" hidden="false" customHeight="false" outlineLevel="0" collapsed="false">
      <c r="A10" s="12" t="s">
        <v>365</v>
      </c>
      <c r="C10" s="22" t="n">
        <f aca="false">WBM_Capex</f>
        <v>600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36" t="n">
        <f aca="false">SUMPRODUCT(C10:AB10,C$6:AB$6)</f>
        <v>600</v>
      </c>
    </row>
    <row r="11" customFormat="false" ht="15" hidden="false" customHeight="false" outlineLevel="0" collapsed="false">
      <c r="A11" s="12" t="s">
        <v>366</v>
      </c>
      <c r="C11" s="22" t="n">
        <v>0</v>
      </c>
      <c r="D11" s="22" t="n">
        <f aca="false">WBM_Routine*D$7</f>
        <v>42</v>
      </c>
      <c r="E11" s="22" t="n">
        <f aca="false">WBM_Routine*E$7</f>
        <v>44.1</v>
      </c>
      <c r="F11" s="22" t="n">
        <f aca="false">WBM_Routine*F$7</f>
        <v>46.305</v>
      </c>
      <c r="G11" s="22" t="n">
        <f aca="false">WBM_Routine*G$7</f>
        <v>48.62025</v>
      </c>
      <c r="H11" s="22" t="n">
        <f aca="false">WBM_Routine*H$7</f>
        <v>51.0512625</v>
      </c>
      <c r="I11" s="22" t="n">
        <f aca="false">WBM_Routine*I$7</f>
        <v>53.603825625</v>
      </c>
      <c r="J11" s="22" t="n">
        <f aca="false">WBM_Routine*J$7</f>
        <v>56.28401690625</v>
      </c>
      <c r="K11" s="22" t="n">
        <f aca="false">WBM_Routine*K$7</f>
        <v>59.0982177515625</v>
      </c>
      <c r="L11" s="22" t="n">
        <f aca="false">WBM_Routine*L$7</f>
        <v>62.0531286391407</v>
      </c>
      <c r="M11" s="22" t="n">
        <f aca="false">WBM_Routine*M$7</f>
        <v>65.1557850710977</v>
      </c>
      <c r="N11" s="22" t="n">
        <f aca="false">WBM_Routine*N$7</f>
        <v>68.4135743246526</v>
      </c>
      <c r="O11" s="22" t="n">
        <f aca="false">WBM_Routine*O$7</f>
        <v>71.8342530408852</v>
      </c>
      <c r="P11" s="22" t="n">
        <f aca="false">WBM_Routine*P$7</f>
        <v>75.4259656929295</v>
      </c>
      <c r="Q11" s="22" t="n">
        <f aca="false">WBM_Routine*Q$7</f>
        <v>79.1972639775759</v>
      </c>
      <c r="R11" s="22" t="n">
        <f aca="false">WBM_Routine*R$7</f>
        <v>83.1571271764548</v>
      </c>
      <c r="S11" s="22" t="n">
        <f aca="false">WBM_Routine*S$7</f>
        <v>87.3149835352775</v>
      </c>
      <c r="T11" s="22" t="n">
        <f aca="false">WBM_Routine*T$7</f>
        <v>91.6807327120414</v>
      </c>
      <c r="U11" s="22" t="n">
        <f aca="false">WBM_Routine*U$7</f>
        <v>96.2647693476434</v>
      </c>
      <c r="V11" s="22" t="n">
        <f aca="false">WBM_Routine*V$7</f>
        <v>101.078007815026</v>
      </c>
      <c r="W11" s="22" t="n">
        <f aca="false">WBM_Routine*W$7</f>
        <v>106.131908205777</v>
      </c>
      <c r="X11" s="22" t="n">
        <f aca="false">WBM_Routine*X$7</f>
        <v>111.438503616066</v>
      </c>
      <c r="Y11" s="22" t="n">
        <f aca="false">WBM_Routine*Y$7</f>
        <v>117.010428796869</v>
      </c>
      <c r="Z11" s="22" t="n">
        <f aca="false">WBM_Routine*Z$7</f>
        <v>122.860950236713</v>
      </c>
      <c r="AA11" s="22" t="n">
        <f aca="false">WBM_Routine*AA$7</f>
        <v>129.003997748548</v>
      </c>
      <c r="AB11" s="22" t="n">
        <f aca="false">WBM_Routine*AB$7</f>
        <v>135.454197635976</v>
      </c>
      <c r="AC11" s="36" t="n">
        <f aca="false">SUMPRODUCT(C11:AB11,C$6:AB$6)</f>
        <v>577.460512060201</v>
      </c>
    </row>
    <row r="12" customFormat="false" ht="15" hidden="false" customHeight="false" outlineLevel="0" collapsed="false">
      <c r="A12" s="12" t="s">
        <v>367</v>
      </c>
      <c r="C12" s="22" t="n">
        <v>0</v>
      </c>
      <c r="D12" s="22" t="n">
        <f aca="false">IF(AND(MOD(D$5,WBM_Cycle)=0,D$5&lt;25),WBM_Regravel*D$7,0)</f>
        <v>0</v>
      </c>
      <c r="E12" s="22" t="n">
        <f aca="false">IF(AND(MOD(E$5,WBM_Cycle)=0,E$5&lt;25),WBM_Regravel*E$7,0)</f>
        <v>0</v>
      </c>
      <c r="F12" s="22" t="n">
        <f aca="false">IF(AND(MOD(F$5,WBM_Cycle)=0,F$5&lt;25),WBM_Regravel*F$7,0)</f>
        <v>0</v>
      </c>
      <c r="G12" s="22" t="n">
        <f aca="false">IF(AND(MOD(G$5,WBM_Cycle)=0,G$5&lt;25),WBM_Regravel*G$7,0)</f>
        <v>303.8765625</v>
      </c>
      <c r="H12" s="22" t="n">
        <f aca="false">IF(AND(MOD(H$5,WBM_Cycle)=0,H$5&lt;25),WBM_Regravel*H$7,0)</f>
        <v>0</v>
      </c>
      <c r="I12" s="22" t="n">
        <f aca="false">IF(AND(MOD(I$5,WBM_Cycle)=0,I$5&lt;25),WBM_Regravel*I$7,0)</f>
        <v>0</v>
      </c>
      <c r="J12" s="22" t="n">
        <f aca="false">IF(AND(MOD(J$5,WBM_Cycle)=0,J$5&lt;25),WBM_Regravel*J$7,0)</f>
        <v>0</v>
      </c>
      <c r="K12" s="22" t="n">
        <f aca="false">IF(AND(MOD(K$5,WBM_Cycle)=0,K$5&lt;25),WBM_Regravel*K$7,0)</f>
        <v>369.363860947266</v>
      </c>
      <c r="L12" s="22" t="n">
        <f aca="false">IF(AND(MOD(L$5,WBM_Cycle)=0,L$5&lt;25),WBM_Regravel*L$7,0)</f>
        <v>0</v>
      </c>
      <c r="M12" s="22" t="n">
        <f aca="false">IF(AND(MOD(M$5,WBM_Cycle)=0,M$5&lt;25),WBM_Regravel*M$7,0)</f>
        <v>0</v>
      </c>
      <c r="N12" s="22" t="n">
        <f aca="false">IF(AND(MOD(N$5,WBM_Cycle)=0,N$5&lt;25),WBM_Regravel*N$7,0)</f>
        <v>0</v>
      </c>
      <c r="O12" s="22" t="n">
        <f aca="false">IF(AND(MOD(O$5,WBM_Cycle)=0,O$5&lt;25),WBM_Regravel*O$7,0)</f>
        <v>448.964081505533</v>
      </c>
      <c r="P12" s="22" t="n">
        <f aca="false">IF(AND(MOD(P$5,WBM_Cycle)=0,P$5&lt;25),WBM_Regravel*P$7,0)</f>
        <v>0</v>
      </c>
      <c r="Q12" s="22" t="n">
        <f aca="false">IF(AND(MOD(Q$5,WBM_Cycle)=0,Q$5&lt;25),WBM_Regravel*Q$7,0)</f>
        <v>0</v>
      </c>
      <c r="R12" s="22" t="n">
        <f aca="false">IF(AND(MOD(R$5,WBM_Cycle)=0,R$5&lt;25),WBM_Regravel*R$7,0)</f>
        <v>0</v>
      </c>
      <c r="S12" s="22" t="n">
        <f aca="false">IF(AND(MOD(S$5,WBM_Cycle)=0,S$5&lt;25),WBM_Regravel*S$7,0)</f>
        <v>545.718647095484</v>
      </c>
      <c r="T12" s="22" t="n">
        <f aca="false">IF(AND(MOD(T$5,WBM_Cycle)=0,T$5&lt;25),WBM_Regravel*T$7,0)</f>
        <v>0</v>
      </c>
      <c r="U12" s="22" t="n">
        <f aca="false">IF(AND(MOD(U$5,WBM_Cycle)=0,U$5&lt;25),WBM_Regravel*U$7,0)</f>
        <v>0</v>
      </c>
      <c r="V12" s="22" t="n">
        <f aca="false">IF(AND(MOD(V$5,WBM_Cycle)=0,V$5&lt;25),WBM_Regravel*V$7,0)</f>
        <v>0</v>
      </c>
      <c r="W12" s="22" t="n">
        <f aca="false">IF(AND(MOD(W$5,WBM_Cycle)=0,W$5&lt;25),WBM_Regravel*W$7,0)</f>
        <v>663.324426286106</v>
      </c>
      <c r="X12" s="22" t="n">
        <f aca="false">IF(AND(MOD(X$5,WBM_Cycle)=0,X$5&lt;25),WBM_Regravel*X$7,0)</f>
        <v>0</v>
      </c>
      <c r="Y12" s="22" t="n">
        <f aca="false">IF(AND(MOD(Y$5,WBM_Cycle)=0,Y$5&lt;25),WBM_Regravel*Y$7,0)</f>
        <v>0</v>
      </c>
      <c r="Z12" s="22" t="n">
        <f aca="false">IF(AND(MOD(Z$5,WBM_Cycle)=0,Z$5&lt;25),WBM_Regravel*Z$7,0)</f>
        <v>0</v>
      </c>
      <c r="AA12" s="22" t="n">
        <f aca="false">IF(AND(MOD(AA$5,WBM_Cycle)=0,AA$5&lt;25),WBM_Regravel*AA$7,0)</f>
        <v>806.274985928426</v>
      </c>
      <c r="AB12" s="22" t="n">
        <f aca="false">IF(AND(MOD(AB$5,WBM_Cycle)=0,AB$5&lt;25),WBM_Regravel*AB$7,0)</f>
        <v>0</v>
      </c>
      <c r="AC12" s="36" t="n">
        <f aca="false">SUMPRODUCT(C12:AB12,C$6:AB$6)</f>
        <v>822.137317411701</v>
      </c>
    </row>
    <row r="13" customFormat="false" ht="15" hidden="false" customHeight="false" outlineLevel="0" collapsed="false">
      <c r="A13" s="12" t="s">
        <v>368</v>
      </c>
      <c r="C13" s="22" t="n">
        <v>0</v>
      </c>
      <c r="D13" s="22" t="n">
        <f aca="false">IF(D$5&lt;=DustYears,DustCost*D$7,0)</f>
        <v>78.75</v>
      </c>
      <c r="E13" s="22" t="n">
        <f aca="false">IF(E$5&lt;=DustYears,DustCost*E$7,0)</f>
        <v>82.6875</v>
      </c>
      <c r="F13" s="22" t="n">
        <f aca="false">IF(F$5&lt;=DustYears,DustCost*F$7,0)</f>
        <v>0</v>
      </c>
      <c r="G13" s="22" t="n">
        <f aca="false">IF(G$5&lt;=DustYears,DustCost*G$7,0)</f>
        <v>0</v>
      </c>
      <c r="H13" s="22" t="n">
        <f aca="false">IF(H$5&lt;=DustYears,DustCost*H$7,0)</f>
        <v>0</v>
      </c>
      <c r="I13" s="22" t="n">
        <f aca="false">IF(I$5&lt;=DustYears,DustCost*I$7,0)</f>
        <v>0</v>
      </c>
      <c r="J13" s="22" t="n">
        <f aca="false">IF(J$5&lt;=DustYears,DustCost*J$7,0)</f>
        <v>0</v>
      </c>
      <c r="K13" s="22" t="n">
        <f aca="false">IF(K$5&lt;=DustYears,DustCost*K$7,0)</f>
        <v>0</v>
      </c>
      <c r="L13" s="22" t="n">
        <f aca="false">IF(L$5&lt;=DustYears,DustCost*L$7,0)</f>
        <v>0</v>
      </c>
      <c r="M13" s="22" t="n">
        <f aca="false">IF(M$5&lt;=DustYears,DustCost*M$7,0)</f>
        <v>0</v>
      </c>
      <c r="N13" s="22" t="n">
        <f aca="false">IF(N$5&lt;=DustYears,DustCost*N$7,0)</f>
        <v>0</v>
      </c>
      <c r="O13" s="22" t="n">
        <f aca="false">IF(O$5&lt;=DustYears,DustCost*O$7,0)</f>
        <v>0</v>
      </c>
      <c r="P13" s="22" t="n">
        <f aca="false">IF(P$5&lt;=DustYears,DustCost*P$7,0)</f>
        <v>0</v>
      </c>
      <c r="Q13" s="22" t="n">
        <f aca="false">IF(Q$5&lt;=DustYears,DustCost*Q$7,0)</f>
        <v>0</v>
      </c>
      <c r="R13" s="22" t="n">
        <f aca="false">IF(R$5&lt;=DustYears,DustCost*R$7,0)</f>
        <v>0</v>
      </c>
      <c r="S13" s="22" t="n">
        <f aca="false">IF(S$5&lt;=DustYears,DustCost*S$7,0)</f>
        <v>0</v>
      </c>
      <c r="T13" s="22" t="n">
        <f aca="false">IF(T$5&lt;=DustYears,DustCost*T$7,0)</f>
        <v>0</v>
      </c>
      <c r="U13" s="22" t="n">
        <f aca="false">IF(U$5&lt;=DustYears,DustCost*U$7,0)</f>
        <v>0</v>
      </c>
      <c r="V13" s="22" t="n">
        <f aca="false">IF(V$5&lt;=DustYears,DustCost*V$7,0)</f>
        <v>0</v>
      </c>
      <c r="W13" s="22" t="n">
        <f aca="false">IF(W$5&lt;=DustYears,DustCost*W$7,0)</f>
        <v>0</v>
      </c>
      <c r="X13" s="22" t="n">
        <f aca="false">IF(X$5&lt;=DustYears,DustCost*X$7,0)</f>
        <v>0</v>
      </c>
      <c r="Y13" s="22" t="n">
        <f aca="false">IF(Y$5&lt;=DustYears,DustCost*Y$7,0)</f>
        <v>0</v>
      </c>
      <c r="Z13" s="22" t="n">
        <f aca="false">IF(Z$5&lt;=DustYears,DustCost*Z$7,0)</f>
        <v>0</v>
      </c>
      <c r="AA13" s="22" t="n">
        <f aca="false">IF(AA$5&lt;=DustYears,DustCost*AA$7,0)</f>
        <v>0</v>
      </c>
      <c r="AB13" s="22" t="n">
        <f aca="false">IF(AB$5&lt;=DustYears,DustCost*AB$7,0)</f>
        <v>0</v>
      </c>
      <c r="AC13" s="36" t="n">
        <f aca="false">SUMPRODUCT(C13:AB13,C$6:AB$6)</f>
        <v>139.927685950413</v>
      </c>
    </row>
    <row r="14" customFormat="false" ht="15" hidden="false" customHeight="false" outlineLevel="0" collapsed="false">
      <c r="A14" s="4" t="s">
        <v>369</v>
      </c>
      <c r="C14" s="36" t="n">
        <f aca="false">SUM(C10:C13)</f>
        <v>600</v>
      </c>
      <c r="D14" s="36" t="n">
        <f aca="false">SUM(D10:D13)</f>
        <v>120.75</v>
      </c>
      <c r="E14" s="36" t="n">
        <f aca="false">SUM(E10:E13)</f>
        <v>126.7875</v>
      </c>
      <c r="F14" s="36" t="n">
        <f aca="false">SUM(F10:F13)</f>
        <v>46.305</v>
      </c>
      <c r="G14" s="36" t="n">
        <f aca="false">SUM(G10:G13)</f>
        <v>352.4968125</v>
      </c>
      <c r="H14" s="36" t="n">
        <f aca="false">SUM(H10:H13)</f>
        <v>51.0512625</v>
      </c>
      <c r="I14" s="36" t="n">
        <f aca="false">SUM(I10:I13)</f>
        <v>53.603825625</v>
      </c>
      <c r="J14" s="36" t="n">
        <f aca="false">SUM(J10:J13)</f>
        <v>56.28401690625</v>
      </c>
      <c r="K14" s="36" t="n">
        <f aca="false">SUM(K10:K13)</f>
        <v>428.462078698828</v>
      </c>
      <c r="L14" s="36" t="n">
        <f aca="false">SUM(L10:L13)</f>
        <v>62.0531286391407</v>
      </c>
      <c r="M14" s="36" t="n">
        <f aca="false">SUM(M10:M13)</f>
        <v>65.1557850710977</v>
      </c>
      <c r="N14" s="36" t="n">
        <f aca="false">SUM(N10:N13)</f>
        <v>68.4135743246526</v>
      </c>
      <c r="O14" s="36" t="n">
        <f aca="false">SUM(O10:O13)</f>
        <v>520.798334546418</v>
      </c>
      <c r="P14" s="36" t="n">
        <f aca="false">SUM(P10:P13)</f>
        <v>75.4259656929295</v>
      </c>
      <c r="Q14" s="36" t="n">
        <f aca="false">SUM(Q10:Q13)</f>
        <v>79.1972639775759</v>
      </c>
      <c r="R14" s="36" t="n">
        <f aca="false">SUM(R10:R13)</f>
        <v>83.1571271764548</v>
      </c>
      <c r="S14" s="36" t="n">
        <f aca="false">SUM(S10:S13)</f>
        <v>633.033630630762</v>
      </c>
      <c r="T14" s="36" t="n">
        <f aca="false">SUM(T10:T13)</f>
        <v>91.6807327120414</v>
      </c>
      <c r="U14" s="36" t="n">
        <f aca="false">SUM(U10:U13)</f>
        <v>96.2647693476434</v>
      </c>
      <c r="V14" s="36" t="n">
        <f aca="false">SUM(V10:V13)</f>
        <v>101.078007815026</v>
      </c>
      <c r="W14" s="36" t="n">
        <f aca="false">SUM(W10:W13)</f>
        <v>769.456334491882</v>
      </c>
      <c r="X14" s="36" t="n">
        <f aca="false">SUM(X10:X13)</f>
        <v>111.438503616066</v>
      </c>
      <c r="Y14" s="36" t="n">
        <f aca="false">SUM(Y10:Y13)</f>
        <v>117.010428796869</v>
      </c>
      <c r="Z14" s="36" t="n">
        <f aca="false">SUM(Z10:Z13)</f>
        <v>122.860950236713</v>
      </c>
      <c r="AA14" s="36" t="n">
        <f aca="false">SUM(AA10:AA13)</f>
        <v>935.278983676974</v>
      </c>
      <c r="AB14" s="36" t="n">
        <f aca="false">SUM(AB10:AB13)</f>
        <v>135.454197635976</v>
      </c>
      <c r="AC14" s="36" t="n">
        <f aca="false">SUMPRODUCT(C14:AB14,C$6:AB$6)</f>
        <v>2139.52551542231</v>
      </c>
    </row>
    <row r="16" customFormat="false" ht="18" hidden="false" customHeight="true" outlineLevel="0" collapsed="false">
      <c r="A16" s="6" t="s">
        <v>137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Format="false" ht="15" hidden="false" customHeight="false" outlineLevel="0" collapsed="false">
      <c r="A17" s="12" t="s">
        <v>365</v>
      </c>
      <c r="C17" s="22" t="n">
        <f aca="false">BT_Capex</f>
        <v>2000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36" t="n">
        <f aca="false">SUMPRODUCT(C17:AB17,C$6:AB$6)</f>
        <v>2000</v>
      </c>
    </row>
    <row r="18" customFormat="false" ht="15" hidden="false" customHeight="false" outlineLevel="0" collapsed="false">
      <c r="A18" s="12" t="s">
        <v>370</v>
      </c>
      <c r="C18" s="22" t="n">
        <v>0</v>
      </c>
      <c r="D18" s="22" t="n">
        <f aca="false">BT_Routine*D$7</f>
        <v>21</v>
      </c>
      <c r="E18" s="22" t="n">
        <f aca="false">BT_Routine*E$7</f>
        <v>22.05</v>
      </c>
      <c r="F18" s="22" t="n">
        <f aca="false">BT_Routine*F$7</f>
        <v>23.1525</v>
      </c>
      <c r="G18" s="22" t="n">
        <f aca="false">BT_Routine*G$7</f>
        <v>24.310125</v>
      </c>
      <c r="H18" s="22" t="n">
        <f aca="false">BT_Routine*H$7</f>
        <v>25.52563125</v>
      </c>
      <c r="I18" s="22" t="n">
        <f aca="false">BT_Routine*I$7</f>
        <v>26.8019128125</v>
      </c>
      <c r="J18" s="22" t="n">
        <f aca="false">BT_Routine*J$7</f>
        <v>28.142008453125</v>
      </c>
      <c r="K18" s="22" t="n">
        <f aca="false">BT_Routine*K$7</f>
        <v>29.5491088757813</v>
      </c>
      <c r="L18" s="22" t="n">
        <f aca="false">BT_Routine*L$7</f>
        <v>31.0265643195703</v>
      </c>
      <c r="M18" s="22" t="n">
        <f aca="false">BT_Routine*M$7</f>
        <v>32.5778925355488</v>
      </c>
      <c r="N18" s="22" t="n">
        <f aca="false">BT_Routine*N$7</f>
        <v>34.2067871623263</v>
      </c>
      <c r="O18" s="22" t="n">
        <f aca="false">BT_Routine*O$7</f>
        <v>35.9171265204426</v>
      </c>
      <c r="P18" s="22" t="n">
        <f aca="false">BT_Routine*P$7</f>
        <v>37.7129828464647</v>
      </c>
      <c r="Q18" s="22" t="n">
        <f aca="false">BT_Routine*Q$7</f>
        <v>39.598631988788</v>
      </c>
      <c r="R18" s="22" t="n">
        <f aca="false">BT_Routine*R$7</f>
        <v>41.5785635882274</v>
      </c>
      <c r="S18" s="22" t="n">
        <f aca="false">BT_Routine*S$7</f>
        <v>43.6574917676387</v>
      </c>
      <c r="T18" s="22" t="n">
        <f aca="false">BT_Routine*T$7</f>
        <v>45.8403663560207</v>
      </c>
      <c r="U18" s="22" t="n">
        <f aca="false">BT_Routine*U$7</f>
        <v>48.1323846738217</v>
      </c>
      <c r="V18" s="22" t="n">
        <f aca="false">BT_Routine*V$7</f>
        <v>50.5390039075128</v>
      </c>
      <c r="W18" s="22" t="n">
        <f aca="false">BT_Routine*W$7</f>
        <v>53.0659541028884</v>
      </c>
      <c r="X18" s="22" t="n">
        <f aca="false">BT_Routine*X$7</f>
        <v>55.7192518080329</v>
      </c>
      <c r="Y18" s="22" t="n">
        <f aca="false">BT_Routine*Y$7</f>
        <v>58.5052143984345</v>
      </c>
      <c r="Z18" s="22" t="n">
        <f aca="false">BT_Routine*Z$7</f>
        <v>61.4304751183563</v>
      </c>
      <c r="AA18" s="22" t="n">
        <f aca="false">BT_Routine*AA$7</f>
        <v>64.5019988742741</v>
      </c>
      <c r="AB18" s="22" t="n">
        <f aca="false">BT_Routine*AB$7</f>
        <v>67.7270988179878</v>
      </c>
      <c r="AC18" s="36" t="n">
        <f aca="false">SUMPRODUCT(C18:AB18,C$6:AB$6)</f>
        <v>288.7302560301</v>
      </c>
    </row>
    <row r="19" customFormat="false" ht="15" hidden="false" customHeight="false" outlineLevel="0" collapsed="false">
      <c r="A19" s="12" t="s">
        <v>371</v>
      </c>
      <c r="C19" s="22" t="n">
        <v>0</v>
      </c>
      <c r="D19" s="22" t="n">
        <f aca="false">IF(AND(MOD(D$5,BT_Cycle)=0,D$5&lt;25),BT_Overlay*D$7,0)</f>
        <v>0</v>
      </c>
      <c r="E19" s="22" t="n">
        <f aca="false">IF(AND(MOD(E$5,BT_Cycle)=0,E$5&lt;25),BT_Overlay*E$7,0)</f>
        <v>0</v>
      </c>
      <c r="F19" s="22" t="n">
        <f aca="false">IF(AND(MOD(F$5,BT_Cycle)=0,F$5&lt;25),BT_Overlay*F$7,0)</f>
        <v>0</v>
      </c>
      <c r="G19" s="22" t="n">
        <f aca="false">IF(AND(MOD(G$5,BT_Cycle)=0,G$5&lt;25),BT_Overlay*G$7,0)</f>
        <v>0</v>
      </c>
      <c r="H19" s="22" t="n">
        <f aca="false">IF(AND(MOD(H$5,BT_Cycle)=0,H$5&lt;25),BT_Overlay*H$7,0)</f>
        <v>574.326703125</v>
      </c>
      <c r="I19" s="22" t="n">
        <f aca="false">IF(AND(MOD(I$5,BT_Cycle)=0,I$5&lt;25),BT_Overlay*I$7,0)</f>
        <v>0</v>
      </c>
      <c r="J19" s="22" t="n">
        <f aca="false">IF(AND(MOD(J$5,BT_Cycle)=0,J$5&lt;25),BT_Overlay*J$7,0)</f>
        <v>0</v>
      </c>
      <c r="K19" s="22" t="n">
        <f aca="false">IF(AND(MOD(K$5,BT_Cycle)=0,K$5&lt;25),BT_Overlay*K$7,0)</f>
        <v>0</v>
      </c>
      <c r="L19" s="22" t="n">
        <f aca="false">IF(AND(MOD(L$5,BT_Cycle)=0,L$5&lt;25),BT_Overlay*L$7,0)</f>
        <v>0</v>
      </c>
      <c r="M19" s="22" t="n">
        <f aca="false">IF(AND(MOD(M$5,BT_Cycle)=0,M$5&lt;25),BT_Overlay*M$7,0)</f>
        <v>733.002582049849</v>
      </c>
      <c r="N19" s="22" t="n">
        <f aca="false">IF(AND(MOD(N$5,BT_Cycle)=0,N$5&lt;25),BT_Overlay*N$7,0)</f>
        <v>0</v>
      </c>
      <c r="O19" s="22" t="n">
        <f aca="false">IF(AND(MOD(O$5,BT_Cycle)=0,O$5&lt;25),BT_Overlay*O$7,0)</f>
        <v>0</v>
      </c>
      <c r="P19" s="22" t="n">
        <f aca="false">IF(AND(MOD(P$5,BT_Cycle)=0,P$5&lt;25),BT_Overlay*P$7,0)</f>
        <v>0</v>
      </c>
      <c r="Q19" s="22" t="n">
        <f aca="false">IF(AND(MOD(Q$5,BT_Cycle)=0,Q$5&lt;25),BT_Overlay*Q$7,0)</f>
        <v>0</v>
      </c>
      <c r="R19" s="22" t="n">
        <f aca="false">IF(AND(MOD(R$5,BT_Cycle)=0,R$5&lt;25),BT_Overlay*R$7,0)</f>
        <v>935.517680735116</v>
      </c>
      <c r="S19" s="22" t="n">
        <f aca="false">IF(AND(MOD(S$5,BT_Cycle)=0,S$5&lt;25),BT_Overlay*S$7,0)</f>
        <v>0</v>
      </c>
      <c r="T19" s="22" t="n">
        <f aca="false">IF(AND(MOD(T$5,BT_Cycle)=0,T$5&lt;25),BT_Overlay*T$7,0)</f>
        <v>0</v>
      </c>
      <c r="U19" s="22" t="n">
        <f aca="false">IF(AND(MOD(U$5,BT_Cycle)=0,U$5&lt;25),BT_Overlay*U$7,0)</f>
        <v>0</v>
      </c>
      <c r="V19" s="22" t="n">
        <f aca="false">IF(AND(MOD(V$5,BT_Cycle)=0,V$5&lt;25),BT_Overlay*V$7,0)</f>
        <v>0</v>
      </c>
      <c r="W19" s="22" t="n">
        <f aca="false">IF(AND(MOD(W$5,BT_Cycle)=0,W$5&lt;25),BT_Overlay*W$7,0)</f>
        <v>1193.98396731499</v>
      </c>
      <c r="X19" s="22" t="n">
        <f aca="false">IF(AND(MOD(X$5,BT_Cycle)=0,X$5&lt;25),BT_Overlay*X$7,0)</f>
        <v>0</v>
      </c>
      <c r="Y19" s="22" t="n">
        <f aca="false">IF(AND(MOD(Y$5,BT_Cycle)=0,Y$5&lt;25),BT_Overlay*Y$7,0)</f>
        <v>0</v>
      </c>
      <c r="Z19" s="22" t="n">
        <f aca="false">IF(AND(MOD(Z$5,BT_Cycle)=0,Z$5&lt;25),BT_Overlay*Z$7,0)</f>
        <v>0</v>
      </c>
      <c r="AA19" s="22" t="n">
        <f aca="false">IF(AND(MOD(AA$5,BT_Cycle)=0,AA$5&lt;25),BT_Overlay*AA$7,0)</f>
        <v>0</v>
      </c>
      <c r="AB19" s="22" t="n">
        <f aca="false">IF(AND(MOD(AB$5,BT_Cycle)=0,AB$5&lt;25),BT_Overlay*AB$7,0)</f>
        <v>0</v>
      </c>
      <c r="AC19" s="36" t="n">
        <f aca="false">SUMPRODUCT(C19:AB19,C$6:AB$6)</f>
        <v>1040.64952653304</v>
      </c>
    </row>
    <row r="20" customFormat="false" ht="15" hidden="false" customHeight="false" outlineLevel="0" collapsed="false">
      <c r="A20" s="4" t="s">
        <v>369</v>
      </c>
      <c r="C20" s="36" t="n">
        <f aca="false">SUM(C17:C19)</f>
        <v>2000</v>
      </c>
      <c r="D20" s="36" t="n">
        <f aca="false">SUM(D17:D19)</f>
        <v>21</v>
      </c>
      <c r="E20" s="36" t="n">
        <f aca="false">SUM(E17:E19)</f>
        <v>22.05</v>
      </c>
      <c r="F20" s="36" t="n">
        <f aca="false">SUM(F17:F19)</f>
        <v>23.1525</v>
      </c>
      <c r="G20" s="36" t="n">
        <f aca="false">SUM(G17:G19)</f>
        <v>24.310125</v>
      </c>
      <c r="H20" s="36" t="n">
        <f aca="false">SUM(H17:H19)</f>
        <v>599.852334375</v>
      </c>
      <c r="I20" s="36" t="n">
        <f aca="false">SUM(I17:I19)</f>
        <v>26.8019128125</v>
      </c>
      <c r="J20" s="36" t="n">
        <f aca="false">SUM(J17:J19)</f>
        <v>28.142008453125</v>
      </c>
      <c r="K20" s="36" t="n">
        <f aca="false">SUM(K17:K19)</f>
        <v>29.5491088757813</v>
      </c>
      <c r="L20" s="36" t="n">
        <f aca="false">SUM(L17:L19)</f>
        <v>31.0265643195703</v>
      </c>
      <c r="M20" s="36" t="n">
        <f aca="false">SUM(M17:M19)</f>
        <v>765.580474585398</v>
      </c>
      <c r="N20" s="36" t="n">
        <f aca="false">SUM(N17:N19)</f>
        <v>34.2067871623263</v>
      </c>
      <c r="O20" s="36" t="n">
        <f aca="false">SUM(O17:O19)</f>
        <v>35.9171265204426</v>
      </c>
      <c r="P20" s="36" t="n">
        <f aca="false">SUM(P17:P19)</f>
        <v>37.7129828464647</v>
      </c>
      <c r="Q20" s="36" t="n">
        <f aca="false">SUM(Q17:Q19)</f>
        <v>39.598631988788</v>
      </c>
      <c r="R20" s="36" t="n">
        <f aca="false">SUM(R17:R19)</f>
        <v>977.096244323343</v>
      </c>
      <c r="S20" s="36" t="n">
        <f aca="false">SUM(S17:S19)</f>
        <v>43.6574917676387</v>
      </c>
      <c r="T20" s="36" t="n">
        <f aca="false">SUM(T17:T19)</f>
        <v>45.8403663560207</v>
      </c>
      <c r="U20" s="36" t="n">
        <f aca="false">SUM(U17:U19)</f>
        <v>48.1323846738217</v>
      </c>
      <c r="V20" s="36" t="n">
        <f aca="false">SUM(V17:V19)</f>
        <v>50.5390039075128</v>
      </c>
      <c r="W20" s="36" t="n">
        <f aca="false">SUM(W17:W19)</f>
        <v>1247.04992141788</v>
      </c>
      <c r="X20" s="36" t="n">
        <f aca="false">SUM(X17:X19)</f>
        <v>55.7192518080329</v>
      </c>
      <c r="Y20" s="36" t="n">
        <f aca="false">SUM(Y17:Y19)</f>
        <v>58.5052143984345</v>
      </c>
      <c r="Z20" s="36" t="n">
        <f aca="false">SUM(Z17:Z19)</f>
        <v>61.4304751183563</v>
      </c>
      <c r="AA20" s="36" t="n">
        <f aca="false">SUM(AA17:AA19)</f>
        <v>64.5019988742741</v>
      </c>
      <c r="AB20" s="36" t="n">
        <f aca="false">SUM(AB17:AB19)</f>
        <v>67.7270988179878</v>
      </c>
      <c r="AC20" s="36" t="n">
        <f aca="false">SUMPRODUCT(C20:AB20,C$6:AB$6)</f>
        <v>3329.37978256314</v>
      </c>
    </row>
    <row r="22" customFormat="false" ht="18" hidden="false" customHeight="true" outlineLevel="0" collapsed="false">
      <c r="A22" s="6" t="s">
        <v>355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customFormat="false" ht="15" hidden="false" customHeight="false" outlineLevel="0" collapsed="false">
      <c r="A23" s="12" t="s">
        <v>365</v>
      </c>
      <c r="C23" s="22" t="n">
        <f aca="false">PQC_Capex</f>
        <v>3200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36" t="n">
        <f aca="false">SUMPRODUCT(C23:AB23,C$6:AB$6)</f>
        <v>3200</v>
      </c>
    </row>
    <row r="24" customFormat="false" ht="15" hidden="false" customHeight="false" outlineLevel="0" collapsed="false">
      <c r="A24" s="12" t="s">
        <v>370</v>
      </c>
      <c r="C24" s="22" t="n">
        <v>0</v>
      </c>
      <c r="D24" s="22" t="n">
        <f aca="false">PQC_Routine*D$7</f>
        <v>10.5</v>
      </c>
      <c r="E24" s="22" t="n">
        <f aca="false">PQC_Routine*E$7</f>
        <v>11.025</v>
      </c>
      <c r="F24" s="22" t="n">
        <f aca="false">PQC_Routine*F$7</f>
        <v>11.57625</v>
      </c>
      <c r="G24" s="22" t="n">
        <f aca="false">PQC_Routine*G$7</f>
        <v>12.1550625</v>
      </c>
      <c r="H24" s="22" t="n">
        <f aca="false">PQC_Routine*H$7</f>
        <v>12.762815625</v>
      </c>
      <c r="I24" s="22" t="n">
        <f aca="false">PQC_Routine*I$7</f>
        <v>13.40095640625</v>
      </c>
      <c r="J24" s="22" t="n">
        <f aca="false">PQC_Routine*J$7</f>
        <v>14.0710042265625</v>
      </c>
      <c r="K24" s="22" t="n">
        <f aca="false">PQC_Routine*K$7</f>
        <v>14.7745544378906</v>
      </c>
      <c r="L24" s="22" t="n">
        <f aca="false">PQC_Routine*L$7</f>
        <v>15.5132821597852</v>
      </c>
      <c r="M24" s="22" t="n">
        <f aca="false">PQC_Routine*M$7</f>
        <v>16.2889462677744</v>
      </c>
      <c r="N24" s="22" t="n">
        <f aca="false">PQC_Routine*N$7</f>
        <v>17.1033935811631</v>
      </c>
      <c r="O24" s="22" t="n">
        <f aca="false">PQC_Routine*O$7</f>
        <v>17.9585632602213</v>
      </c>
      <c r="P24" s="22" t="n">
        <f aca="false">PQC_Routine*P$7</f>
        <v>18.8564914232324</v>
      </c>
      <c r="Q24" s="22" t="n">
        <f aca="false">PQC_Routine*Q$7</f>
        <v>19.799315994394</v>
      </c>
      <c r="R24" s="22" t="n">
        <f aca="false">PQC_Routine*R$7</f>
        <v>20.7892817941137</v>
      </c>
      <c r="S24" s="22" t="n">
        <f aca="false">PQC_Routine*S$7</f>
        <v>21.8287458838194</v>
      </c>
      <c r="T24" s="22" t="n">
        <f aca="false">PQC_Routine*T$7</f>
        <v>22.9201831780103</v>
      </c>
      <c r="U24" s="22" t="n">
        <f aca="false">PQC_Routine*U$7</f>
        <v>24.0661923369109</v>
      </c>
      <c r="V24" s="22" t="n">
        <f aca="false">PQC_Routine*V$7</f>
        <v>25.2695019537564</v>
      </c>
      <c r="W24" s="22" t="n">
        <f aca="false">PQC_Routine*W$7</f>
        <v>26.5329770514442</v>
      </c>
      <c r="X24" s="22" t="n">
        <f aca="false">PQC_Routine*X$7</f>
        <v>27.8596259040164</v>
      </c>
      <c r="Y24" s="22" t="n">
        <f aca="false">PQC_Routine*Y$7</f>
        <v>29.2526071992173</v>
      </c>
      <c r="Z24" s="22" t="n">
        <f aca="false">PQC_Routine*Z$7</f>
        <v>30.7152375591781</v>
      </c>
      <c r="AA24" s="22" t="n">
        <f aca="false">PQC_Routine*AA$7</f>
        <v>32.250999437137</v>
      </c>
      <c r="AB24" s="22" t="n">
        <f aca="false">PQC_Routine*AB$7</f>
        <v>33.8635494089939</v>
      </c>
      <c r="AC24" s="36" t="n">
        <f aca="false">SUMPRODUCT(C24:AB24,C$6:AB$6)</f>
        <v>144.36512801505</v>
      </c>
    </row>
    <row r="25" customFormat="false" ht="15" hidden="false" customHeight="false" outlineLevel="0" collapsed="false">
      <c r="A25" s="12" t="s">
        <v>372</v>
      </c>
      <c r="C25" s="22" t="n">
        <v>0</v>
      </c>
      <c r="D25" s="22" t="n">
        <f aca="false">IF(AND(MOD(D$5,PQC_Cycle)=0,D$5&lt;25),PQC_Repair*D$7,0)</f>
        <v>0</v>
      </c>
      <c r="E25" s="22" t="n">
        <f aca="false">IF(AND(MOD(E$5,PQC_Cycle)=0,E$5&lt;25),PQC_Repair*E$7,0)</f>
        <v>0</v>
      </c>
      <c r="F25" s="22" t="n">
        <f aca="false">IF(AND(MOD(F$5,PQC_Cycle)=0,F$5&lt;25),PQC_Repair*F$7,0)</f>
        <v>0</v>
      </c>
      <c r="G25" s="22" t="n">
        <f aca="false">IF(AND(MOD(G$5,PQC_Cycle)=0,G$5&lt;25),PQC_Repair*G$7,0)</f>
        <v>0</v>
      </c>
      <c r="H25" s="22" t="n">
        <f aca="false">IF(AND(MOD(H$5,PQC_Cycle)=0,H$5&lt;25),PQC_Repair*H$7,0)</f>
        <v>0</v>
      </c>
      <c r="I25" s="22" t="n">
        <f aca="false">IF(AND(MOD(I$5,PQC_Cycle)=0,I$5&lt;25),PQC_Repair*I$7,0)</f>
        <v>0</v>
      </c>
      <c r="J25" s="22" t="n">
        <f aca="false">IF(AND(MOD(J$5,PQC_Cycle)=0,J$5&lt;25),PQC_Repair*J$7,0)</f>
        <v>0</v>
      </c>
      <c r="K25" s="22" t="n">
        <f aca="false">IF(AND(MOD(K$5,PQC_Cycle)=0,K$5&lt;25),PQC_Repair*K$7,0)</f>
        <v>0</v>
      </c>
      <c r="L25" s="22" t="n">
        <f aca="false">IF(AND(MOD(L$5,PQC_Cycle)=0,L$5&lt;25),PQC_Repair*L$7,0)</f>
        <v>0</v>
      </c>
      <c r="M25" s="22" t="n">
        <f aca="false">IF(AND(MOD(M$5,PQC_Cycle)=0,M$5&lt;25),PQC_Repair*M$7,0)</f>
        <v>244.334194016616</v>
      </c>
      <c r="N25" s="22" t="n">
        <f aca="false">IF(AND(MOD(N$5,PQC_Cycle)=0,N$5&lt;25),PQC_Repair*N$7,0)</f>
        <v>0</v>
      </c>
      <c r="O25" s="22" t="n">
        <f aca="false">IF(AND(MOD(O$5,PQC_Cycle)=0,O$5&lt;25),PQC_Repair*O$7,0)</f>
        <v>0</v>
      </c>
      <c r="P25" s="22" t="n">
        <f aca="false">IF(AND(MOD(P$5,PQC_Cycle)=0,P$5&lt;25),PQC_Repair*P$7,0)</f>
        <v>0</v>
      </c>
      <c r="Q25" s="22" t="n">
        <f aca="false">IF(AND(MOD(Q$5,PQC_Cycle)=0,Q$5&lt;25),PQC_Repair*Q$7,0)</f>
        <v>0</v>
      </c>
      <c r="R25" s="22" t="n">
        <f aca="false">IF(AND(MOD(R$5,PQC_Cycle)=0,R$5&lt;25),PQC_Repair*R$7,0)</f>
        <v>0</v>
      </c>
      <c r="S25" s="22" t="n">
        <f aca="false">IF(AND(MOD(S$5,PQC_Cycle)=0,S$5&lt;25),PQC_Repair*S$7,0)</f>
        <v>0</v>
      </c>
      <c r="T25" s="22" t="n">
        <f aca="false">IF(AND(MOD(T$5,PQC_Cycle)=0,T$5&lt;25),PQC_Repair*T$7,0)</f>
        <v>0</v>
      </c>
      <c r="U25" s="22" t="n">
        <f aca="false">IF(AND(MOD(U$5,PQC_Cycle)=0,U$5&lt;25),PQC_Repair*U$7,0)</f>
        <v>0</v>
      </c>
      <c r="V25" s="22" t="n">
        <f aca="false">IF(AND(MOD(V$5,PQC_Cycle)=0,V$5&lt;25),PQC_Repair*V$7,0)</f>
        <v>0</v>
      </c>
      <c r="W25" s="22" t="n">
        <f aca="false">IF(AND(MOD(W$5,PQC_Cycle)=0,W$5&lt;25),PQC_Repair*W$7,0)</f>
        <v>397.994655771663</v>
      </c>
      <c r="X25" s="22" t="n">
        <f aca="false">IF(AND(MOD(X$5,PQC_Cycle)=0,X$5&lt;25),PQC_Repair*X$7,0)</f>
        <v>0</v>
      </c>
      <c r="Y25" s="22" t="n">
        <f aca="false">IF(AND(MOD(Y$5,PQC_Cycle)=0,Y$5&lt;25),PQC_Repair*Y$7,0)</f>
        <v>0</v>
      </c>
      <c r="Z25" s="22" t="n">
        <f aca="false">IF(AND(MOD(Z$5,PQC_Cycle)=0,Z$5&lt;25),PQC_Repair*Z$7,0)</f>
        <v>0</v>
      </c>
      <c r="AA25" s="22" t="n">
        <f aca="false">IF(AND(MOD(AA$5,PQC_Cycle)=0,AA$5&lt;25),PQC_Repair*AA$7,0)</f>
        <v>0</v>
      </c>
      <c r="AB25" s="22" t="n">
        <f aca="false">IF(AND(MOD(AB$5,PQC_Cycle)=0,AB$5&lt;25),PQC_Repair*AB$7,0)</f>
        <v>0</v>
      </c>
      <c r="AC25" s="36" t="n">
        <f aca="false">SUMPRODUCT(C25:AB25,C$6:AB$6)</f>
        <v>153.3607784494</v>
      </c>
    </row>
    <row r="26" customFormat="false" ht="15" hidden="false" customHeight="false" outlineLevel="0" collapsed="false">
      <c r="A26" s="4" t="s">
        <v>369</v>
      </c>
      <c r="C26" s="36" t="n">
        <f aca="false">SUM(C23:C25)</f>
        <v>3200</v>
      </c>
      <c r="D26" s="36" t="n">
        <f aca="false">SUM(D23:D25)</f>
        <v>10.5</v>
      </c>
      <c r="E26" s="36" t="n">
        <f aca="false">SUM(E23:E25)</f>
        <v>11.025</v>
      </c>
      <c r="F26" s="36" t="n">
        <f aca="false">SUM(F23:F25)</f>
        <v>11.57625</v>
      </c>
      <c r="G26" s="36" t="n">
        <f aca="false">SUM(G23:G25)</f>
        <v>12.1550625</v>
      </c>
      <c r="H26" s="36" t="n">
        <f aca="false">SUM(H23:H25)</f>
        <v>12.762815625</v>
      </c>
      <c r="I26" s="36" t="n">
        <f aca="false">SUM(I23:I25)</f>
        <v>13.40095640625</v>
      </c>
      <c r="J26" s="36" t="n">
        <f aca="false">SUM(J23:J25)</f>
        <v>14.0710042265625</v>
      </c>
      <c r="K26" s="36" t="n">
        <f aca="false">SUM(K23:K25)</f>
        <v>14.7745544378906</v>
      </c>
      <c r="L26" s="36" t="n">
        <f aca="false">SUM(L23:L25)</f>
        <v>15.5132821597852</v>
      </c>
      <c r="M26" s="36" t="n">
        <f aca="false">SUM(M23:M25)</f>
        <v>260.623140284391</v>
      </c>
      <c r="N26" s="36" t="n">
        <f aca="false">SUM(N23:N25)</f>
        <v>17.1033935811631</v>
      </c>
      <c r="O26" s="36" t="n">
        <f aca="false">SUM(O23:O25)</f>
        <v>17.9585632602213</v>
      </c>
      <c r="P26" s="36" t="n">
        <f aca="false">SUM(P23:P25)</f>
        <v>18.8564914232324</v>
      </c>
      <c r="Q26" s="36" t="n">
        <f aca="false">SUM(Q23:Q25)</f>
        <v>19.799315994394</v>
      </c>
      <c r="R26" s="36" t="n">
        <f aca="false">SUM(R23:R25)</f>
        <v>20.7892817941137</v>
      </c>
      <c r="S26" s="36" t="n">
        <f aca="false">SUM(S23:S25)</f>
        <v>21.8287458838194</v>
      </c>
      <c r="T26" s="36" t="n">
        <f aca="false">SUM(T23:T25)</f>
        <v>22.9201831780103</v>
      </c>
      <c r="U26" s="36" t="n">
        <f aca="false">SUM(U23:U25)</f>
        <v>24.0661923369109</v>
      </c>
      <c r="V26" s="36" t="n">
        <f aca="false">SUM(V23:V25)</f>
        <v>25.2695019537564</v>
      </c>
      <c r="W26" s="36" t="n">
        <f aca="false">SUM(W23:W25)</f>
        <v>424.527632823108</v>
      </c>
      <c r="X26" s="36" t="n">
        <f aca="false">SUM(X23:X25)</f>
        <v>27.8596259040164</v>
      </c>
      <c r="Y26" s="36" t="n">
        <f aca="false">SUM(Y23:Y25)</f>
        <v>29.2526071992173</v>
      </c>
      <c r="Z26" s="36" t="n">
        <f aca="false">SUM(Z23:Z25)</f>
        <v>30.7152375591781</v>
      </c>
      <c r="AA26" s="36" t="n">
        <f aca="false">SUM(AA23:AA25)</f>
        <v>32.250999437137</v>
      </c>
      <c r="AB26" s="36" t="n">
        <f aca="false">SUM(AB23:AB25)</f>
        <v>33.8635494089939</v>
      </c>
      <c r="AC26" s="36" t="n">
        <f aca="false">SUMPRODUCT(C26:AB26,C$6:AB$6)</f>
        <v>3497.72590646445</v>
      </c>
    </row>
    <row r="28" customFormat="false" ht="18" hidden="false" customHeight="true" outlineLevel="0" collapsed="false">
      <c r="A28" s="6" t="s">
        <v>373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customFormat="false" ht="15" hidden="false" customHeight="false" outlineLevel="0" collapsed="false">
      <c r="A29" s="12" t="s">
        <v>365</v>
      </c>
      <c r="C29" s="22" t="n">
        <f aca="false">S1_Capex</f>
        <v>2029.2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36" t="n">
        <f aca="false">SUMPRODUCT(C29:AB29,C$6:AB$6)</f>
        <v>2029.2</v>
      </c>
    </row>
    <row r="30" customFormat="false" ht="15" hidden="false" customHeight="false" outlineLevel="0" collapsed="false">
      <c r="A30" s="12" t="s">
        <v>374</v>
      </c>
      <c r="C30" s="22" t="n">
        <v>0</v>
      </c>
      <c r="D30" s="22" t="n">
        <f aca="false">GM_RoutinePct*S1_Capex*D$7</f>
        <v>10.6533</v>
      </c>
      <c r="E30" s="22" t="n">
        <f aca="false">GM_RoutinePct*S1_Capex*E$7</f>
        <v>11.185965</v>
      </c>
      <c r="F30" s="22" t="n">
        <f aca="false">GM_RoutinePct*S1_Capex*F$7</f>
        <v>11.74526325</v>
      </c>
      <c r="G30" s="22" t="n">
        <f aca="false">GM_RoutinePct*S1_Capex*G$7</f>
        <v>12.3325264125</v>
      </c>
      <c r="H30" s="22" t="n">
        <f aca="false">GM_RoutinePct*S1_Capex*H$7</f>
        <v>12.949152733125</v>
      </c>
      <c r="I30" s="22" t="n">
        <f aca="false">GM_RoutinePct*S1_Capex*I$7</f>
        <v>13.5966103697813</v>
      </c>
      <c r="J30" s="22" t="n">
        <f aca="false">GM_RoutinePct*S1_Capex*J$7</f>
        <v>14.2764408882703</v>
      </c>
      <c r="K30" s="22" t="n">
        <f aca="false">GM_RoutinePct*S1_Capex*K$7</f>
        <v>14.9902629326838</v>
      </c>
      <c r="L30" s="22" t="n">
        <f aca="false">GM_RoutinePct*S1_Capex*L$7</f>
        <v>15.739776079318</v>
      </c>
      <c r="M30" s="22" t="n">
        <f aca="false">GM_RoutinePct*S1_Capex*M$7</f>
        <v>16.5267648832839</v>
      </c>
      <c r="N30" s="22" t="n">
        <f aca="false">GM_RoutinePct*S1_Capex*N$7</f>
        <v>17.3531031274481</v>
      </c>
      <c r="O30" s="22" t="n">
        <f aca="false">GM_RoutinePct*S1_Capex*O$7</f>
        <v>18.2207582838205</v>
      </c>
      <c r="P30" s="22" t="n">
        <f aca="false">GM_RoutinePct*S1_Capex*P$7</f>
        <v>19.1317961980116</v>
      </c>
      <c r="Q30" s="22" t="n">
        <f aca="false">GM_RoutinePct*S1_Capex*Q$7</f>
        <v>20.0883860079121</v>
      </c>
      <c r="R30" s="22" t="n">
        <f aca="false">GM_RoutinePct*S1_Capex*R$7</f>
        <v>21.0928053083078</v>
      </c>
      <c r="S30" s="22" t="n">
        <f aca="false">GM_RoutinePct*S1_Capex*S$7</f>
        <v>22.1474455737231</v>
      </c>
      <c r="T30" s="22" t="n">
        <f aca="false">GM_RoutinePct*S1_Capex*T$7</f>
        <v>23.2548178524093</v>
      </c>
      <c r="U30" s="22" t="n">
        <f aca="false">GM_RoutinePct*S1_Capex*U$7</f>
        <v>24.4175587450298</v>
      </c>
      <c r="V30" s="22" t="n">
        <f aca="false">GM_RoutinePct*S1_Capex*V$7</f>
        <v>25.6384366822813</v>
      </c>
      <c r="W30" s="22" t="n">
        <f aca="false">GM_RoutinePct*S1_Capex*W$7</f>
        <v>26.9203585163953</v>
      </c>
      <c r="X30" s="22" t="n">
        <f aca="false">GM_RoutinePct*S1_Capex*X$7</f>
        <v>28.2663764422151</v>
      </c>
      <c r="Y30" s="22" t="n">
        <f aca="false">GM_RoutinePct*S1_Capex*Y$7</f>
        <v>29.6796952643258</v>
      </c>
      <c r="Z30" s="22" t="n">
        <f aca="false">GM_RoutinePct*S1_Capex*Z$7</f>
        <v>31.1636800275421</v>
      </c>
      <c r="AA30" s="22" t="n">
        <f aca="false">GM_RoutinePct*S1_Capex*AA$7</f>
        <v>32.7218640289192</v>
      </c>
      <c r="AB30" s="22" t="n">
        <f aca="false">GM_RoutinePct*S1_Capex*AB$7</f>
        <v>34.3579572303652</v>
      </c>
      <c r="AC30" s="36" t="n">
        <f aca="false">SUMPRODUCT(C30:AB30,C$6:AB$6)</f>
        <v>146.47285888407</v>
      </c>
    </row>
    <row r="31" customFormat="false" ht="15" hidden="false" customHeight="false" outlineLevel="0" collapsed="false">
      <c r="A31" s="12" t="s">
        <v>375</v>
      </c>
      <c r="C31" s="22" t="n">
        <v>0</v>
      </c>
      <c r="D31" s="22" t="n">
        <f aca="false">IF(AND(MOD(D$5,S1_Cycle)=0,D$5&lt;25),S1_TopUp*D$7,0)</f>
        <v>0</v>
      </c>
      <c r="E31" s="22" t="n">
        <f aca="false">IF(AND(MOD(E$5,S1_Cycle)=0,E$5&lt;25),S1_TopUp*E$7,0)</f>
        <v>0</v>
      </c>
      <c r="F31" s="22" t="n">
        <f aca="false">IF(AND(MOD(F$5,S1_Cycle)=0,F$5&lt;25),S1_TopUp*F$7,0)</f>
        <v>0</v>
      </c>
      <c r="G31" s="22" t="n">
        <f aca="false">IF(AND(MOD(G$5,S1_Cycle)=0,G$5&lt;25),S1_TopUp*G$7,0)</f>
        <v>0</v>
      </c>
      <c r="H31" s="22" t="n">
        <f aca="false">IF(AND(MOD(H$5,S1_Cycle)=0,H$5&lt;25),S1_TopUp*H$7,0)</f>
        <v>0</v>
      </c>
      <c r="I31" s="22" t="n">
        <f aca="false">IF(AND(MOD(I$5,S1_Cycle)=0,I$5&lt;25),S1_TopUp*I$7,0)</f>
        <v>0</v>
      </c>
      <c r="J31" s="22" t="n">
        <f aca="false">IF(AND(MOD(J$5,S1_Cycle)=0,J$5&lt;25),S1_TopUp*J$7,0)</f>
        <v>0</v>
      </c>
      <c r="K31" s="22" t="n">
        <f aca="false">IF(AND(MOD(K$5,S1_Cycle)=0,K$5&lt;25),S1_TopUp*K$7,0)</f>
        <v>0</v>
      </c>
      <c r="L31" s="22" t="n">
        <f aca="false">IF(AND(MOD(L$5,S1_Cycle)=0,L$5&lt;25),S1_TopUp*L$7,0)</f>
        <v>0</v>
      </c>
      <c r="M31" s="22" t="n">
        <f aca="false">IF(AND(MOD(M$5,S1_Cycle)=0,M$5&lt;25),S1_TopUp*M$7,0)</f>
        <v>244.334194016616</v>
      </c>
      <c r="N31" s="22" t="n">
        <f aca="false">IF(AND(MOD(N$5,S1_Cycle)=0,N$5&lt;25),S1_TopUp*N$7,0)</f>
        <v>0</v>
      </c>
      <c r="O31" s="22" t="n">
        <f aca="false">IF(AND(MOD(O$5,S1_Cycle)=0,O$5&lt;25),S1_TopUp*O$7,0)</f>
        <v>0</v>
      </c>
      <c r="P31" s="22" t="n">
        <f aca="false">IF(AND(MOD(P$5,S1_Cycle)=0,P$5&lt;25),S1_TopUp*P$7,0)</f>
        <v>0</v>
      </c>
      <c r="Q31" s="22" t="n">
        <f aca="false">IF(AND(MOD(Q$5,S1_Cycle)=0,Q$5&lt;25),S1_TopUp*Q$7,0)</f>
        <v>0</v>
      </c>
      <c r="R31" s="22" t="n">
        <f aca="false">IF(AND(MOD(R$5,S1_Cycle)=0,R$5&lt;25),S1_TopUp*R$7,0)</f>
        <v>0</v>
      </c>
      <c r="S31" s="22" t="n">
        <f aca="false">IF(AND(MOD(S$5,S1_Cycle)=0,S$5&lt;25),S1_TopUp*S$7,0)</f>
        <v>0</v>
      </c>
      <c r="T31" s="22" t="n">
        <f aca="false">IF(AND(MOD(T$5,S1_Cycle)=0,T$5&lt;25),S1_TopUp*T$7,0)</f>
        <v>0</v>
      </c>
      <c r="U31" s="22" t="n">
        <f aca="false">IF(AND(MOD(U$5,S1_Cycle)=0,U$5&lt;25),S1_TopUp*U$7,0)</f>
        <v>0</v>
      </c>
      <c r="V31" s="22" t="n">
        <f aca="false">IF(AND(MOD(V$5,S1_Cycle)=0,V$5&lt;25),S1_TopUp*V$7,0)</f>
        <v>0</v>
      </c>
      <c r="W31" s="22" t="n">
        <f aca="false">IF(AND(MOD(W$5,S1_Cycle)=0,W$5&lt;25),S1_TopUp*W$7,0)</f>
        <v>397.994655771663</v>
      </c>
      <c r="X31" s="22" t="n">
        <f aca="false">IF(AND(MOD(X$5,S1_Cycle)=0,X$5&lt;25),S1_TopUp*X$7,0)</f>
        <v>0</v>
      </c>
      <c r="Y31" s="22" t="n">
        <f aca="false">IF(AND(MOD(Y$5,S1_Cycle)=0,Y$5&lt;25),S1_TopUp*Y$7,0)</f>
        <v>0</v>
      </c>
      <c r="Z31" s="22" t="n">
        <f aca="false">IF(AND(MOD(Z$5,S1_Cycle)=0,Z$5&lt;25),S1_TopUp*Z$7,0)</f>
        <v>0</v>
      </c>
      <c r="AA31" s="22" t="n">
        <f aca="false">IF(AND(MOD(AA$5,S1_Cycle)=0,AA$5&lt;25),S1_TopUp*AA$7,0)</f>
        <v>0</v>
      </c>
      <c r="AB31" s="22" t="n">
        <f aca="false">IF(AND(MOD(AB$5,S1_Cycle)=0,AB$5&lt;25),S1_TopUp*AB$7,0)</f>
        <v>0</v>
      </c>
      <c r="AC31" s="36" t="n">
        <f aca="false">SUMPRODUCT(C31:AB31,C$6:AB$6)</f>
        <v>153.3607784494</v>
      </c>
    </row>
    <row r="32" customFormat="false" ht="15" hidden="false" customHeight="false" outlineLevel="0" collapsed="false">
      <c r="A32" s="4" t="s">
        <v>369</v>
      </c>
      <c r="C32" s="36" t="n">
        <f aca="false">SUM(C29:C31)</f>
        <v>2029.2</v>
      </c>
      <c r="D32" s="36" t="n">
        <f aca="false">SUM(D29:D31)</f>
        <v>10.6533</v>
      </c>
      <c r="E32" s="36" t="n">
        <f aca="false">SUM(E29:E31)</f>
        <v>11.185965</v>
      </c>
      <c r="F32" s="36" t="n">
        <f aca="false">SUM(F29:F31)</f>
        <v>11.74526325</v>
      </c>
      <c r="G32" s="36" t="n">
        <f aca="false">SUM(G29:G31)</f>
        <v>12.3325264125</v>
      </c>
      <c r="H32" s="36" t="n">
        <f aca="false">SUM(H29:H31)</f>
        <v>12.949152733125</v>
      </c>
      <c r="I32" s="36" t="n">
        <f aca="false">SUM(I29:I31)</f>
        <v>13.5966103697813</v>
      </c>
      <c r="J32" s="36" t="n">
        <f aca="false">SUM(J29:J31)</f>
        <v>14.2764408882703</v>
      </c>
      <c r="K32" s="36" t="n">
        <f aca="false">SUM(K29:K31)</f>
        <v>14.9902629326838</v>
      </c>
      <c r="L32" s="36" t="n">
        <f aca="false">SUM(L29:L31)</f>
        <v>15.739776079318</v>
      </c>
      <c r="M32" s="36" t="n">
        <f aca="false">SUM(M29:M31)</f>
        <v>260.8609588999</v>
      </c>
      <c r="N32" s="36" t="n">
        <f aca="false">SUM(N29:N31)</f>
        <v>17.3531031274481</v>
      </c>
      <c r="O32" s="36" t="n">
        <f aca="false">SUM(O29:O31)</f>
        <v>18.2207582838205</v>
      </c>
      <c r="P32" s="36" t="n">
        <f aca="false">SUM(P29:P31)</f>
        <v>19.1317961980116</v>
      </c>
      <c r="Q32" s="36" t="n">
        <f aca="false">SUM(Q29:Q31)</f>
        <v>20.0883860079121</v>
      </c>
      <c r="R32" s="36" t="n">
        <f aca="false">SUM(R29:R31)</f>
        <v>21.0928053083078</v>
      </c>
      <c r="S32" s="36" t="n">
        <f aca="false">SUM(S29:S31)</f>
        <v>22.1474455737231</v>
      </c>
      <c r="T32" s="36" t="n">
        <f aca="false">SUM(T29:T31)</f>
        <v>23.2548178524093</v>
      </c>
      <c r="U32" s="36" t="n">
        <f aca="false">SUM(U29:U31)</f>
        <v>24.4175587450298</v>
      </c>
      <c r="V32" s="36" t="n">
        <f aca="false">SUM(V29:V31)</f>
        <v>25.6384366822813</v>
      </c>
      <c r="W32" s="36" t="n">
        <f aca="false">SUM(W29:W31)</f>
        <v>424.915014288059</v>
      </c>
      <c r="X32" s="36" t="n">
        <f aca="false">SUM(X29:X31)</f>
        <v>28.2663764422151</v>
      </c>
      <c r="Y32" s="36" t="n">
        <f aca="false">SUM(Y29:Y31)</f>
        <v>29.6796952643258</v>
      </c>
      <c r="Z32" s="36" t="n">
        <f aca="false">SUM(Z29:Z31)</f>
        <v>31.1636800275421</v>
      </c>
      <c r="AA32" s="36" t="n">
        <f aca="false">SUM(AA29:AA31)</f>
        <v>32.7218640289192</v>
      </c>
      <c r="AB32" s="36" t="n">
        <f aca="false">SUM(AB29:AB31)</f>
        <v>34.3579572303652</v>
      </c>
      <c r="AC32" s="36" t="n">
        <f aca="false">SUMPRODUCT(C32:AB32,C$6:AB$6)</f>
        <v>2329.03363733347</v>
      </c>
    </row>
    <row r="34" customFormat="false" ht="18" hidden="false" customHeight="true" outlineLevel="0" collapsed="false">
      <c r="A34" s="6" t="s">
        <v>376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customFormat="false" ht="15" hidden="false" customHeight="false" outlineLevel="0" collapsed="false">
      <c r="A35" s="12" t="s">
        <v>365</v>
      </c>
      <c r="C35" s="22" t="n">
        <f aca="false">S2_Capex</f>
        <v>1681.5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36" t="n">
        <f aca="false">SUMPRODUCT(C35:AB35,C$6:AB$6)</f>
        <v>1681.5</v>
      </c>
    </row>
    <row r="36" customFormat="false" ht="15" hidden="false" customHeight="false" outlineLevel="0" collapsed="false">
      <c r="A36" s="12" t="s">
        <v>374</v>
      </c>
      <c r="C36" s="22" t="n">
        <v>0</v>
      </c>
      <c r="D36" s="22" t="n">
        <f aca="false">GM_RoutinePct*S2_Capex*D$7</f>
        <v>8.827875</v>
      </c>
      <c r="E36" s="22" t="n">
        <f aca="false">GM_RoutinePct*S2_Capex*E$7</f>
        <v>9.26926875</v>
      </c>
      <c r="F36" s="22" t="n">
        <f aca="false">GM_RoutinePct*S2_Capex*F$7</f>
        <v>9.7327321875</v>
      </c>
      <c r="G36" s="22" t="n">
        <f aca="false">GM_RoutinePct*S2_Capex*G$7</f>
        <v>10.219368796875</v>
      </c>
      <c r="H36" s="22" t="n">
        <f aca="false">GM_RoutinePct*S2_Capex*H$7</f>
        <v>10.7303372367188</v>
      </c>
      <c r="I36" s="22" t="n">
        <f aca="false">GM_RoutinePct*S2_Capex*I$7</f>
        <v>11.2668540985547</v>
      </c>
      <c r="J36" s="22" t="n">
        <f aca="false">GM_RoutinePct*S2_Capex*J$7</f>
        <v>11.8301968034824</v>
      </c>
      <c r="K36" s="22" t="n">
        <f aca="false">GM_RoutinePct*S2_Capex*K$7</f>
        <v>12.4217066436565</v>
      </c>
      <c r="L36" s="22" t="n">
        <f aca="false">GM_RoutinePct*S2_Capex*L$7</f>
        <v>13.0427919758394</v>
      </c>
      <c r="M36" s="22" t="n">
        <f aca="false">GM_RoutinePct*S2_Capex*M$7</f>
        <v>13.6949315746313</v>
      </c>
      <c r="N36" s="22" t="n">
        <f aca="false">GM_RoutinePct*S2_Capex*N$7</f>
        <v>14.3796781533629</v>
      </c>
      <c r="O36" s="22" t="n">
        <f aca="false">GM_RoutinePct*S2_Capex*O$7</f>
        <v>15.0986620610311</v>
      </c>
      <c r="P36" s="22" t="n">
        <f aca="false">GM_RoutinePct*S2_Capex*P$7</f>
        <v>15.8535951640826</v>
      </c>
      <c r="Q36" s="22" t="n">
        <f aca="false">GM_RoutinePct*S2_Capex*Q$7</f>
        <v>16.6462749222867</v>
      </c>
      <c r="R36" s="22" t="n">
        <f aca="false">GM_RoutinePct*S2_Capex*R$7</f>
        <v>17.4785886684011</v>
      </c>
      <c r="S36" s="22" t="n">
        <f aca="false">GM_RoutinePct*S2_Capex*S$7</f>
        <v>18.3525181018211</v>
      </c>
      <c r="T36" s="22" t="n">
        <f aca="false">GM_RoutinePct*S2_Capex*T$7</f>
        <v>19.2701440069122</v>
      </c>
      <c r="U36" s="22" t="n">
        <f aca="false">GM_RoutinePct*S2_Capex*U$7</f>
        <v>20.2336512072578</v>
      </c>
      <c r="V36" s="22" t="n">
        <f aca="false">GM_RoutinePct*S2_Capex*V$7</f>
        <v>21.2453337676207</v>
      </c>
      <c r="W36" s="22" t="n">
        <f aca="false">GM_RoutinePct*S2_Capex*W$7</f>
        <v>22.3076004560017</v>
      </c>
      <c r="X36" s="22" t="n">
        <f aca="false">GM_RoutinePct*S2_Capex*X$7</f>
        <v>23.4229804788018</v>
      </c>
      <c r="Y36" s="22" t="n">
        <f aca="false">GM_RoutinePct*S2_Capex*Y$7</f>
        <v>24.5941295027419</v>
      </c>
      <c r="Z36" s="22" t="n">
        <f aca="false">GM_RoutinePct*S2_Capex*Z$7</f>
        <v>25.823835977879</v>
      </c>
      <c r="AA36" s="22" t="n">
        <f aca="false">GM_RoutinePct*S2_Capex*AA$7</f>
        <v>27.115027776773</v>
      </c>
      <c r="AB36" s="22" t="n">
        <f aca="false">GM_RoutinePct*S2_Capex*AB$7</f>
        <v>28.4707791656116</v>
      </c>
      <c r="AC36" s="36" t="n">
        <f aca="false">SUMPRODUCT(C36:AB36,C$6:AB$6)</f>
        <v>121.374981378653</v>
      </c>
    </row>
    <row r="37" customFormat="false" ht="15" hidden="false" customHeight="false" outlineLevel="0" collapsed="false">
      <c r="A37" s="12" t="s">
        <v>377</v>
      </c>
      <c r="C37" s="22" t="n">
        <v>0</v>
      </c>
      <c r="D37" s="22" t="n">
        <f aca="false">IF(AND(MOD(D$5,S2_Cycle)=0,D$5&lt;25),S2_TopUp*D$7,0)</f>
        <v>0</v>
      </c>
      <c r="E37" s="22" t="n">
        <f aca="false">IF(AND(MOD(E$5,S2_Cycle)=0,E$5&lt;25),S2_TopUp*E$7,0)</f>
        <v>0</v>
      </c>
      <c r="F37" s="22" t="n">
        <f aca="false">IF(AND(MOD(F$5,S2_Cycle)=0,F$5&lt;25),S2_TopUp*F$7,0)</f>
        <v>40.516875</v>
      </c>
      <c r="G37" s="22" t="n">
        <f aca="false">IF(AND(MOD(G$5,S2_Cycle)=0,G$5&lt;25),S2_TopUp*G$7,0)</f>
        <v>0</v>
      </c>
      <c r="H37" s="22" t="n">
        <f aca="false">IF(AND(MOD(H$5,S2_Cycle)=0,H$5&lt;25),S2_TopUp*H$7,0)</f>
        <v>0</v>
      </c>
      <c r="I37" s="22" t="n">
        <f aca="false">IF(AND(MOD(I$5,S2_Cycle)=0,I$5&lt;25),S2_TopUp*I$7,0)</f>
        <v>46.903347421875</v>
      </c>
      <c r="J37" s="22" t="n">
        <f aca="false">IF(AND(MOD(J$5,S2_Cycle)=0,J$5&lt;25),S2_TopUp*J$7,0)</f>
        <v>0</v>
      </c>
      <c r="K37" s="22" t="n">
        <f aca="false">IF(AND(MOD(K$5,S2_Cycle)=0,K$5&lt;25),S2_TopUp*K$7,0)</f>
        <v>0</v>
      </c>
      <c r="L37" s="22" t="n">
        <f aca="false">IF(AND(MOD(L$5,S2_Cycle)=0,L$5&lt;25),S2_TopUp*L$7,0)</f>
        <v>54.2964875592481</v>
      </c>
      <c r="M37" s="22" t="n">
        <f aca="false">IF(AND(MOD(M$5,S2_Cycle)=0,M$5&lt;25),S2_TopUp*M$7,0)</f>
        <v>0</v>
      </c>
      <c r="N37" s="22" t="n">
        <f aca="false">IF(AND(MOD(N$5,S2_Cycle)=0,N$5&lt;25),S2_TopUp*N$7,0)</f>
        <v>0</v>
      </c>
      <c r="O37" s="22" t="n">
        <f aca="false">IF(AND(MOD(O$5,S2_Cycle)=0,O$5&lt;25),S2_TopUp*O$7,0)</f>
        <v>62.8549714107746</v>
      </c>
      <c r="P37" s="22" t="n">
        <f aca="false">IF(AND(MOD(P$5,S2_Cycle)=0,P$5&lt;25),S2_TopUp*P$7,0)</f>
        <v>0</v>
      </c>
      <c r="Q37" s="22" t="n">
        <f aca="false">IF(AND(MOD(Q$5,S2_Cycle)=0,Q$5&lt;25),S2_TopUp*Q$7,0)</f>
        <v>0</v>
      </c>
      <c r="R37" s="22" t="n">
        <f aca="false">IF(AND(MOD(R$5,S2_Cycle)=0,R$5&lt;25),S2_TopUp*R$7,0)</f>
        <v>72.7624862793979</v>
      </c>
      <c r="S37" s="22" t="n">
        <f aca="false">IF(AND(MOD(S$5,S2_Cycle)=0,S$5&lt;25),S2_TopUp*S$7,0)</f>
        <v>0</v>
      </c>
      <c r="T37" s="22" t="n">
        <f aca="false">IF(AND(MOD(T$5,S2_Cycle)=0,T$5&lt;25),S2_TopUp*T$7,0)</f>
        <v>0</v>
      </c>
      <c r="U37" s="22" t="n">
        <f aca="false">IF(AND(MOD(U$5,S2_Cycle)=0,U$5&lt;25),S2_TopUp*U$7,0)</f>
        <v>84.231673179188</v>
      </c>
      <c r="V37" s="22" t="n">
        <f aca="false">IF(AND(MOD(V$5,S2_Cycle)=0,V$5&lt;25),S2_TopUp*V$7,0)</f>
        <v>0</v>
      </c>
      <c r="W37" s="22" t="n">
        <f aca="false">IF(AND(MOD(W$5,S2_Cycle)=0,W$5&lt;25),S2_TopUp*W$7,0)</f>
        <v>0</v>
      </c>
      <c r="X37" s="22" t="n">
        <f aca="false">IF(AND(MOD(X$5,S2_Cycle)=0,X$5&lt;25),S2_TopUp*X$7,0)</f>
        <v>97.5086906640575</v>
      </c>
      <c r="Y37" s="22" t="n">
        <f aca="false">IF(AND(MOD(Y$5,S2_Cycle)=0,Y$5&lt;25),S2_TopUp*Y$7,0)</f>
        <v>0</v>
      </c>
      <c r="Z37" s="22" t="n">
        <f aca="false">IF(AND(MOD(Z$5,S2_Cycle)=0,Z$5&lt;25),S2_TopUp*Z$7,0)</f>
        <v>0</v>
      </c>
      <c r="AA37" s="22" t="n">
        <f aca="false">IF(AND(MOD(AA$5,S2_Cycle)=0,AA$5&lt;25),S2_TopUp*AA$7,0)</f>
        <v>112.87849802998</v>
      </c>
      <c r="AB37" s="22" t="n">
        <f aca="false">IF(AND(MOD(AB$5,S2_Cycle)=0,AB$5&lt;25),S2_TopUp*AB$7,0)</f>
        <v>0</v>
      </c>
      <c r="AC37" s="36" t="n">
        <f aca="false">SUMPRODUCT(C37:AB37,C$6:AB$6)</f>
        <v>157.176216294402</v>
      </c>
    </row>
    <row r="38" customFormat="false" ht="15" hidden="false" customHeight="false" outlineLevel="0" collapsed="false">
      <c r="A38" s="12" t="s">
        <v>378</v>
      </c>
      <c r="C38" s="22" t="n">
        <v>0</v>
      </c>
      <c r="D38" s="22" t="n">
        <f aca="false">IF(D$5&lt;=DustYears,DustCost*(1-DustCutS2)*D$7,0)</f>
        <v>23.625</v>
      </c>
      <c r="E38" s="22" t="n">
        <f aca="false">IF(E$5&lt;=DustYears,DustCost*(1-DustCutS2)*E$7,0)</f>
        <v>24.80625</v>
      </c>
      <c r="F38" s="22" t="n">
        <f aca="false">IF(F$5&lt;=DustYears,DustCost*(1-DustCutS2)*F$7,0)</f>
        <v>0</v>
      </c>
      <c r="G38" s="22" t="n">
        <f aca="false">IF(G$5&lt;=DustYears,DustCost*(1-DustCutS2)*G$7,0)</f>
        <v>0</v>
      </c>
      <c r="H38" s="22" t="n">
        <f aca="false">IF(H$5&lt;=DustYears,DustCost*(1-DustCutS2)*H$7,0)</f>
        <v>0</v>
      </c>
      <c r="I38" s="22" t="n">
        <f aca="false">IF(I$5&lt;=DustYears,DustCost*(1-DustCutS2)*I$7,0)</f>
        <v>0</v>
      </c>
      <c r="J38" s="22" t="n">
        <f aca="false">IF(J$5&lt;=DustYears,DustCost*(1-DustCutS2)*J$7,0)</f>
        <v>0</v>
      </c>
      <c r="K38" s="22" t="n">
        <f aca="false">IF(K$5&lt;=DustYears,DustCost*(1-DustCutS2)*K$7,0)</f>
        <v>0</v>
      </c>
      <c r="L38" s="22" t="n">
        <f aca="false">IF(L$5&lt;=DustYears,DustCost*(1-DustCutS2)*L$7,0)</f>
        <v>0</v>
      </c>
      <c r="M38" s="22" t="n">
        <f aca="false">IF(M$5&lt;=DustYears,DustCost*(1-DustCutS2)*M$7,0)</f>
        <v>0</v>
      </c>
      <c r="N38" s="22" t="n">
        <f aca="false">IF(N$5&lt;=DustYears,DustCost*(1-DustCutS2)*N$7,0)</f>
        <v>0</v>
      </c>
      <c r="O38" s="22" t="n">
        <f aca="false">IF(O$5&lt;=DustYears,DustCost*(1-DustCutS2)*O$7,0)</f>
        <v>0</v>
      </c>
      <c r="P38" s="22" t="n">
        <f aca="false">IF(P$5&lt;=DustYears,DustCost*(1-DustCutS2)*P$7,0)</f>
        <v>0</v>
      </c>
      <c r="Q38" s="22" t="n">
        <f aca="false">IF(Q$5&lt;=DustYears,DustCost*(1-DustCutS2)*Q$7,0)</f>
        <v>0</v>
      </c>
      <c r="R38" s="22" t="n">
        <f aca="false">IF(R$5&lt;=DustYears,DustCost*(1-DustCutS2)*R$7,0)</f>
        <v>0</v>
      </c>
      <c r="S38" s="22" t="n">
        <f aca="false">IF(S$5&lt;=DustYears,DustCost*(1-DustCutS2)*S$7,0)</f>
        <v>0</v>
      </c>
      <c r="T38" s="22" t="n">
        <f aca="false">IF(T$5&lt;=DustYears,DustCost*(1-DustCutS2)*T$7,0)</f>
        <v>0</v>
      </c>
      <c r="U38" s="22" t="n">
        <f aca="false">IF(U$5&lt;=DustYears,DustCost*(1-DustCutS2)*U$7,0)</f>
        <v>0</v>
      </c>
      <c r="V38" s="22" t="n">
        <f aca="false">IF(V$5&lt;=DustYears,DustCost*(1-DustCutS2)*V$7,0)</f>
        <v>0</v>
      </c>
      <c r="W38" s="22" t="n">
        <f aca="false">IF(W$5&lt;=DustYears,DustCost*(1-DustCutS2)*W$7,0)</f>
        <v>0</v>
      </c>
      <c r="X38" s="22" t="n">
        <f aca="false">IF(X$5&lt;=DustYears,DustCost*(1-DustCutS2)*X$7,0)</f>
        <v>0</v>
      </c>
      <c r="Y38" s="22" t="n">
        <f aca="false">IF(Y$5&lt;=DustYears,DustCost*(1-DustCutS2)*Y$7,0)</f>
        <v>0</v>
      </c>
      <c r="Z38" s="22" t="n">
        <f aca="false">IF(Z$5&lt;=DustYears,DustCost*(1-DustCutS2)*Z$7,0)</f>
        <v>0</v>
      </c>
      <c r="AA38" s="22" t="n">
        <f aca="false">IF(AA$5&lt;=DustYears,DustCost*(1-DustCutS2)*AA$7,0)</f>
        <v>0</v>
      </c>
      <c r="AB38" s="22" t="n">
        <f aca="false">IF(AB$5&lt;=DustYears,DustCost*(1-DustCutS2)*AB$7,0)</f>
        <v>0</v>
      </c>
      <c r="AC38" s="36" t="n">
        <f aca="false">SUMPRODUCT(C38:AB38,C$6:AB$6)</f>
        <v>41.978305785124</v>
      </c>
    </row>
    <row r="39" customFormat="false" ht="15" hidden="false" customHeight="false" outlineLevel="0" collapsed="false">
      <c r="A39" s="4" t="s">
        <v>369</v>
      </c>
      <c r="C39" s="36" t="n">
        <f aca="false">SUM(C35:C38)</f>
        <v>1681.5</v>
      </c>
      <c r="D39" s="36" t="n">
        <f aca="false">SUM(D35:D38)</f>
        <v>32.452875</v>
      </c>
      <c r="E39" s="36" t="n">
        <f aca="false">SUM(E35:E38)</f>
        <v>34.07551875</v>
      </c>
      <c r="F39" s="36" t="n">
        <f aca="false">SUM(F35:F38)</f>
        <v>50.2496071875</v>
      </c>
      <c r="G39" s="36" t="n">
        <f aca="false">SUM(G35:G38)</f>
        <v>10.219368796875</v>
      </c>
      <c r="H39" s="36" t="n">
        <f aca="false">SUM(H35:H38)</f>
        <v>10.7303372367188</v>
      </c>
      <c r="I39" s="36" t="n">
        <f aca="false">SUM(I35:I38)</f>
        <v>58.1702015204297</v>
      </c>
      <c r="J39" s="36" t="n">
        <f aca="false">SUM(J35:J38)</f>
        <v>11.8301968034824</v>
      </c>
      <c r="K39" s="36" t="n">
        <f aca="false">SUM(K35:K38)</f>
        <v>12.4217066436565</v>
      </c>
      <c r="L39" s="36" t="n">
        <f aca="false">SUM(L35:L38)</f>
        <v>67.3392795350874</v>
      </c>
      <c r="M39" s="36" t="n">
        <f aca="false">SUM(M35:M38)</f>
        <v>13.6949315746313</v>
      </c>
      <c r="N39" s="36" t="n">
        <f aca="false">SUM(N35:N38)</f>
        <v>14.3796781533629</v>
      </c>
      <c r="O39" s="36" t="n">
        <f aca="false">SUM(O35:O38)</f>
        <v>77.9536334718056</v>
      </c>
      <c r="P39" s="36" t="n">
        <f aca="false">SUM(P35:P38)</f>
        <v>15.8535951640826</v>
      </c>
      <c r="Q39" s="36" t="n">
        <f aca="false">SUM(Q35:Q38)</f>
        <v>16.6462749222867</v>
      </c>
      <c r="R39" s="36" t="n">
        <f aca="false">SUM(R35:R38)</f>
        <v>90.241074947799</v>
      </c>
      <c r="S39" s="36" t="n">
        <f aca="false">SUM(S35:S38)</f>
        <v>18.3525181018211</v>
      </c>
      <c r="T39" s="36" t="n">
        <f aca="false">SUM(T35:T38)</f>
        <v>19.2701440069122</v>
      </c>
      <c r="U39" s="36" t="n">
        <f aca="false">SUM(U35:U38)</f>
        <v>104.465324386446</v>
      </c>
      <c r="V39" s="36" t="n">
        <f aca="false">SUM(V35:V38)</f>
        <v>21.2453337676207</v>
      </c>
      <c r="W39" s="36" t="n">
        <f aca="false">SUM(W35:W38)</f>
        <v>22.3076004560017</v>
      </c>
      <c r="X39" s="36" t="n">
        <f aca="false">SUM(X35:X38)</f>
        <v>120.931671142859</v>
      </c>
      <c r="Y39" s="36" t="n">
        <f aca="false">SUM(Y35:Y38)</f>
        <v>24.5941295027419</v>
      </c>
      <c r="Z39" s="36" t="n">
        <f aca="false">SUM(Z35:Z38)</f>
        <v>25.823835977879</v>
      </c>
      <c r="AA39" s="36" t="n">
        <f aca="false">SUM(AA35:AA38)</f>
        <v>139.993525806753</v>
      </c>
      <c r="AB39" s="36" t="n">
        <f aca="false">SUM(AB35:AB38)</f>
        <v>28.4707791656116</v>
      </c>
      <c r="AC39" s="36" t="n">
        <f aca="false">SUMPRODUCT(C39:AB39,C$6:AB$6)</f>
        <v>2002.02950345818</v>
      </c>
    </row>
    <row r="41" customFormat="false" ht="18" hidden="false" customHeight="true" outlineLevel="0" collapsed="false">
      <c r="A41" s="6" t="s">
        <v>379</v>
      </c>
      <c r="B41" s="7"/>
      <c r="C41" s="7"/>
      <c r="D41" s="7"/>
      <c r="E41" s="7"/>
      <c r="F41" s="7"/>
      <c r="G41" s="7"/>
      <c r="H41" s="7"/>
    </row>
    <row r="42" customFormat="false" ht="23.85" hidden="false" customHeight="false" outlineLevel="0" collapsed="false">
      <c r="A42" s="8" t="s">
        <v>350</v>
      </c>
      <c r="B42" s="9"/>
      <c r="C42" s="9" t="s">
        <v>365</v>
      </c>
      <c r="D42" s="9" t="s">
        <v>380</v>
      </c>
      <c r="E42" s="9" t="s">
        <v>381</v>
      </c>
      <c r="F42" s="9" t="s">
        <v>382</v>
      </c>
      <c r="G42" s="9" t="s">
        <v>383</v>
      </c>
      <c r="H42" s="9"/>
    </row>
    <row r="43" customFormat="false" ht="15" hidden="false" customHeight="false" outlineLevel="0" collapsed="false">
      <c r="A43" s="12" t="s">
        <v>384</v>
      </c>
      <c r="C43" s="43" t="n">
        <f aca="false">C14</f>
        <v>600</v>
      </c>
      <c r="D43" s="43" t="n">
        <f aca="false">AC14-C43</f>
        <v>1539.52551542231</v>
      </c>
      <c r="E43" s="26" t="n">
        <f aca="false">AC14</f>
        <v>2139.52551542231</v>
      </c>
      <c r="F43" s="43" t="n">
        <f aca="false">E43/10.7639</f>
        <v>198.768616897436</v>
      </c>
      <c r="G43" s="49" t="n">
        <f aca="false">E43/C43</f>
        <v>3.56587585903719</v>
      </c>
    </row>
    <row r="44" customFormat="false" ht="15" hidden="false" customHeight="false" outlineLevel="0" collapsed="false">
      <c r="A44" s="12" t="s">
        <v>385</v>
      </c>
      <c r="C44" s="43" t="n">
        <f aca="false">C20</f>
        <v>2000</v>
      </c>
      <c r="D44" s="43" t="n">
        <f aca="false">AC20-C44</f>
        <v>1329.37978256314</v>
      </c>
      <c r="E44" s="26" t="n">
        <f aca="false">AC20</f>
        <v>3329.37978256314</v>
      </c>
      <c r="F44" s="43" t="n">
        <f aca="false">E44/10.7639</f>
        <v>309.309802447361</v>
      </c>
      <c r="G44" s="49" t="n">
        <f aca="false">E44/C44</f>
        <v>1.66468989128157</v>
      </c>
    </row>
    <row r="45" customFormat="false" ht="15" hidden="false" customHeight="false" outlineLevel="0" collapsed="false">
      <c r="A45" s="12" t="s">
        <v>386</v>
      </c>
      <c r="C45" s="43" t="n">
        <f aca="false">C26</f>
        <v>3200</v>
      </c>
      <c r="D45" s="43" t="n">
        <f aca="false">AC26-C45</f>
        <v>297.72590646445</v>
      </c>
      <c r="E45" s="26" t="n">
        <f aca="false">AC26</f>
        <v>3497.72590646445</v>
      </c>
      <c r="F45" s="43" t="n">
        <f aca="false">E45/10.7639</f>
        <v>324.94968426541</v>
      </c>
      <c r="G45" s="49" t="n">
        <f aca="false">E45/C45</f>
        <v>1.09303934577014</v>
      </c>
    </row>
    <row r="46" customFormat="false" ht="15" hidden="false" customHeight="false" outlineLevel="0" collapsed="false">
      <c r="A46" s="4" t="s">
        <v>387</v>
      </c>
      <c r="C46" s="43" t="n">
        <f aca="false">C32</f>
        <v>2029.2</v>
      </c>
      <c r="D46" s="43" t="n">
        <f aca="false">AC32-C46</f>
        <v>299.833637333469</v>
      </c>
      <c r="E46" s="26" t="n">
        <f aca="false">AC32</f>
        <v>2329.03363733347</v>
      </c>
      <c r="F46" s="43" t="n">
        <f aca="false">E46/10.7639</f>
        <v>216.374514565675</v>
      </c>
      <c r="G46" s="49" t="n">
        <f aca="false">E46/C46</f>
        <v>1.14775952953552</v>
      </c>
    </row>
    <row r="47" customFormat="false" ht="15" hidden="false" customHeight="false" outlineLevel="0" collapsed="false">
      <c r="A47" s="4" t="s">
        <v>388</v>
      </c>
      <c r="C47" s="43" t="n">
        <f aca="false">C39</f>
        <v>1681.5</v>
      </c>
      <c r="D47" s="43" t="n">
        <f aca="false">AC39-C47</f>
        <v>320.52950345818</v>
      </c>
      <c r="E47" s="26" t="n">
        <f aca="false">AC39</f>
        <v>2002.02950345818</v>
      </c>
      <c r="F47" s="43" t="n">
        <f aca="false">E47/10.7639</f>
        <v>185.994807036314</v>
      </c>
      <c r="G47" s="49" t="n">
        <f aca="false">E47/C47</f>
        <v>1.1906211736296</v>
      </c>
    </row>
    <row r="49" customFormat="false" ht="18" hidden="false" customHeight="true" outlineLevel="0" collapsed="false">
      <c r="A49" s="6" t="s">
        <v>389</v>
      </c>
      <c r="B49" s="7"/>
      <c r="C49" s="7"/>
      <c r="D49" s="7"/>
      <c r="E49" s="7"/>
      <c r="F49" s="7"/>
      <c r="G49" s="7"/>
      <c r="H49" s="7"/>
    </row>
    <row r="50" customFormat="false" ht="35.05" hidden="false" customHeight="false" outlineLevel="0" collapsed="false">
      <c r="A50" s="8" t="s">
        <v>390</v>
      </c>
      <c r="B50" s="9"/>
      <c r="C50" s="9" t="s">
        <v>391</v>
      </c>
      <c r="D50" s="9" t="s">
        <v>392</v>
      </c>
      <c r="E50" s="9" t="s">
        <v>393</v>
      </c>
      <c r="F50" s="9" t="s">
        <v>394</v>
      </c>
      <c r="G50" s="9"/>
      <c r="H50" s="9"/>
    </row>
    <row r="51" customFormat="false" ht="15" hidden="false" customHeight="false" outlineLevel="0" collapsed="false">
      <c r="A51" s="12" t="s">
        <v>395</v>
      </c>
      <c r="C51" s="43" t="n">
        <f aca="false">C47-C43</f>
        <v>1081.5</v>
      </c>
      <c r="D51" s="43" t="n">
        <f aca="false">D43-D47</f>
        <v>1218.99601196413</v>
      </c>
      <c r="E51" s="26" t="n">
        <f aca="false">E43-E47</f>
        <v>137.496011964135</v>
      </c>
      <c r="F51" s="50" t="n">
        <f aca="false">E51/E43</f>
        <v>0.064264721767992</v>
      </c>
    </row>
    <row r="52" customFormat="false" ht="15" hidden="false" customHeight="false" outlineLevel="0" collapsed="false">
      <c r="A52" s="12" t="s">
        <v>396</v>
      </c>
      <c r="C52" s="43" t="n">
        <f aca="false">C46-C44</f>
        <v>29.2</v>
      </c>
      <c r="D52" s="43" t="n">
        <f aca="false">D44-D46</f>
        <v>1029.54614522967</v>
      </c>
      <c r="E52" s="26" t="n">
        <f aca="false">E44-E46</f>
        <v>1000.34614522967</v>
      </c>
      <c r="F52" s="50" t="n">
        <f aca="false">E52/E44</f>
        <v>0.300460208976085</v>
      </c>
    </row>
    <row r="53" customFormat="false" ht="15" hidden="false" customHeight="false" outlineLevel="0" collapsed="false">
      <c r="A53" s="12" t="s">
        <v>397</v>
      </c>
      <c r="C53" s="43" t="n">
        <f aca="false">C46-C45</f>
        <v>-1170.8</v>
      </c>
      <c r="D53" s="43" t="n">
        <f aca="false">D45-D46</f>
        <v>-2.10773086901941</v>
      </c>
      <c r="E53" s="26" t="n">
        <f aca="false">E45-E46</f>
        <v>1168.69226913098</v>
      </c>
      <c r="F53" s="50" t="n">
        <f aca="false">E53/E45</f>
        <v>0.334129174321813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AC6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28" min="3" style="0" width="9"/>
    <col collapsed="false" customWidth="true" hidden="false" outlineLevel="0" max="29" min="29" style="0" width="12"/>
  </cols>
  <sheetData>
    <row r="1" customFormat="false" ht="25.5" hidden="false" customHeight="true" outlineLevel="0" collapsed="false">
      <c r="A1" s="19" t="s">
        <v>398</v>
      </c>
    </row>
    <row r="2" customFormat="false" ht="15" hidden="false" customHeight="false" outlineLevel="0" collapsed="false">
      <c r="A2" s="20" t="s">
        <v>399</v>
      </c>
    </row>
    <row r="4" customFormat="false" ht="18" hidden="false" customHeight="true" outlineLevel="0" collapsed="false">
      <c r="A4" s="6" t="s">
        <v>400</v>
      </c>
      <c r="B4" s="7"/>
      <c r="C4" s="7"/>
      <c r="D4" s="7"/>
    </row>
    <row r="5" customFormat="false" ht="15" hidden="false" customHeight="false" outlineLevel="0" collapsed="false">
      <c r="A5" s="12" t="s">
        <v>401</v>
      </c>
      <c r="B5" s="44" t="n">
        <f aca="false">BlockMWp</f>
        <v>100</v>
      </c>
    </row>
    <row r="6" customFormat="false" ht="15" hidden="false" customHeight="false" outlineLevel="0" collapsed="false">
      <c r="A6" s="12" t="s">
        <v>402</v>
      </c>
      <c r="B6" s="51" t="n">
        <f aca="false">BlockMWp/100*RoadKm</f>
        <v>10</v>
      </c>
    </row>
    <row r="7" customFormat="false" ht="15" hidden="false" customHeight="false" outlineLevel="0" collapsed="false">
      <c r="A7" s="12" t="s">
        <v>403</v>
      </c>
      <c r="B7" s="22" t="n">
        <f aca="false">BlockMWp/100*RoadKm*MainShare*1000*MainWidth</f>
        <v>18000</v>
      </c>
    </row>
    <row r="8" customFormat="false" ht="15" hidden="false" customHeight="false" outlineLevel="0" collapsed="false">
      <c r="A8" s="12" t="s">
        <v>404</v>
      </c>
      <c r="B8" s="22" t="n">
        <f aca="false">BlockMWp/100*RoadKm*(1-MainShare)*1000*TrackWidth</f>
        <v>31500</v>
      </c>
    </row>
    <row r="9" customFormat="false" ht="15" hidden="false" customHeight="false" outlineLevel="0" collapsed="false">
      <c r="A9" s="12" t="s">
        <v>405</v>
      </c>
      <c r="B9" s="22" t="n">
        <f aca="false">MainArea+TrackArea</f>
        <v>49500</v>
      </c>
    </row>
    <row r="10" customFormat="false" ht="15" hidden="false" customHeight="false" outlineLevel="0" collapsed="false">
      <c r="A10" s="12" t="s">
        <v>406</v>
      </c>
      <c r="B10" s="52" t="str">
        <f aca="false">MainBaseline</f>
        <v>Bituminous</v>
      </c>
    </row>
    <row r="13" customFormat="false" ht="15" hidden="false" customHeight="false" outlineLevel="0" collapsed="false">
      <c r="A13" s="4" t="s">
        <v>361</v>
      </c>
      <c r="C13" s="46" t="n">
        <v>0</v>
      </c>
      <c r="D13" s="46" t="n">
        <v>1</v>
      </c>
      <c r="E13" s="46" t="n">
        <v>2</v>
      </c>
      <c r="F13" s="46" t="n">
        <v>3</v>
      </c>
      <c r="G13" s="46" t="n">
        <v>4</v>
      </c>
      <c r="H13" s="46" t="n">
        <v>5</v>
      </c>
      <c r="I13" s="46" t="n">
        <v>6</v>
      </c>
      <c r="J13" s="46" t="n">
        <v>7</v>
      </c>
      <c r="K13" s="46" t="n">
        <v>8</v>
      </c>
      <c r="L13" s="46" t="n">
        <v>9</v>
      </c>
      <c r="M13" s="46" t="n">
        <v>10</v>
      </c>
      <c r="N13" s="46" t="n">
        <v>11</v>
      </c>
      <c r="O13" s="46" t="n">
        <v>12</v>
      </c>
      <c r="P13" s="46" t="n">
        <v>13</v>
      </c>
      <c r="Q13" s="46" t="n">
        <v>14</v>
      </c>
      <c r="R13" s="46" t="n">
        <v>15</v>
      </c>
      <c r="S13" s="46" t="n">
        <v>16</v>
      </c>
      <c r="T13" s="46" t="n">
        <v>17</v>
      </c>
      <c r="U13" s="46" t="n">
        <v>18</v>
      </c>
      <c r="V13" s="46" t="n">
        <v>19</v>
      </c>
      <c r="W13" s="46" t="n">
        <v>20</v>
      </c>
      <c r="X13" s="46" t="n">
        <v>21</v>
      </c>
      <c r="Y13" s="46" t="n">
        <v>22</v>
      </c>
      <c r="Z13" s="46" t="n">
        <v>23</v>
      </c>
      <c r="AA13" s="46" t="n">
        <v>24</v>
      </c>
      <c r="AB13" s="46" t="n">
        <v>25</v>
      </c>
      <c r="AC13" s="47" t="s">
        <v>407</v>
      </c>
    </row>
    <row r="14" customFormat="false" ht="15" hidden="false" customHeight="false" outlineLevel="0" collapsed="false">
      <c r="A14" s="12" t="s">
        <v>363</v>
      </c>
      <c r="C14" s="48" t="n">
        <f aca="false">1/(1+DiscRate)^C$13</f>
        <v>1</v>
      </c>
      <c r="D14" s="48" t="n">
        <f aca="false">1/(1+DiscRate)^D$13</f>
        <v>0.909090909090909</v>
      </c>
      <c r="E14" s="48" t="n">
        <f aca="false">1/(1+DiscRate)^E$13</f>
        <v>0.826446280991735</v>
      </c>
      <c r="F14" s="48" t="n">
        <f aca="false">1/(1+DiscRate)^F$13</f>
        <v>0.751314800901578</v>
      </c>
      <c r="G14" s="48" t="n">
        <f aca="false">1/(1+DiscRate)^G$13</f>
        <v>0.683013455365071</v>
      </c>
      <c r="H14" s="48" t="n">
        <f aca="false">1/(1+DiscRate)^H$13</f>
        <v>0.620921323059155</v>
      </c>
      <c r="I14" s="48" t="n">
        <f aca="false">1/(1+DiscRate)^I$13</f>
        <v>0.564473930053777</v>
      </c>
      <c r="J14" s="48" t="n">
        <f aca="false">1/(1+DiscRate)^J$13</f>
        <v>0.513158118230707</v>
      </c>
      <c r="K14" s="48" t="n">
        <f aca="false">1/(1+DiscRate)^K$13</f>
        <v>0.466507380209733</v>
      </c>
      <c r="L14" s="48" t="n">
        <f aca="false">1/(1+DiscRate)^L$13</f>
        <v>0.424097618372485</v>
      </c>
      <c r="M14" s="48" t="n">
        <f aca="false">1/(1+DiscRate)^M$13</f>
        <v>0.385543289429531</v>
      </c>
      <c r="N14" s="48" t="n">
        <f aca="false">1/(1+DiscRate)^N$13</f>
        <v>0.350493899481392</v>
      </c>
      <c r="O14" s="48" t="n">
        <f aca="false">1/(1+DiscRate)^O$13</f>
        <v>0.318630817710357</v>
      </c>
      <c r="P14" s="48" t="n">
        <f aca="false">1/(1+DiscRate)^P$13</f>
        <v>0.289664379736688</v>
      </c>
      <c r="Q14" s="48" t="n">
        <f aca="false">1/(1+DiscRate)^Q$13</f>
        <v>0.26333125430608</v>
      </c>
      <c r="R14" s="48" t="n">
        <f aca="false">1/(1+DiscRate)^R$13</f>
        <v>0.239392049369163</v>
      </c>
      <c r="S14" s="48" t="n">
        <f aca="false">1/(1+DiscRate)^S$13</f>
        <v>0.217629135790149</v>
      </c>
      <c r="T14" s="48" t="n">
        <f aca="false">1/(1+DiscRate)^T$13</f>
        <v>0.197844668900135</v>
      </c>
      <c r="U14" s="48" t="n">
        <f aca="false">1/(1+DiscRate)^U$13</f>
        <v>0.179858789909214</v>
      </c>
      <c r="V14" s="48" t="n">
        <f aca="false">1/(1+DiscRate)^V$13</f>
        <v>0.163507990826558</v>
      </c>
      <c r="W14" s="48" t="n">
        <f aca="false">1/(1+DiscRate)^W$13</f>
        <v>0.148643628024143</v>
      </c>
      <c r="X14" s="48" t="n">
        <f aca="false">1/(1+DiscRate)^X$13</f>
        <v>0.135130570931039</v>
      </c>
      <c r="Y14" s="48" t="n">
        <f aca="false">1/(1+DiscRate)^Y$13</f>
        <v>0.122845973573672</v>
      </c>
      <c r="Z14" s="48" t="n">
        <f aca="false">1/(1+DiscRate)^Z$13</f>
        <v>0.111678157794247</v>
      </c>
      <c r="AA14" s="48" t="n">
        <f aca="false">1/(1+DiscRate)^AA$13</f>
        <v>0.10152559799477</v>
      </c>
      <c r="AB14" s="48" t="n">
        <f aca="false">1/(1+DiscRate)^AB$13</f>
        <v>0.092295998177064</v>
      </c>
    </row>
    <row r="15" customFormat="false" ht="15" hidden="false" customHeight="false" outlineLevel="0" collapsed="false">
      <c r="A15" s="12" t="s">
        <v>364</v>
      </c>
      <c r="C15" s="48" t="n">
        <f aca="false">(1+CostEsc)^C$13</f>
        <v>1</v>
      </c>
      <c r="D15" s="48" t="n">
        <f aca="false">(1+CostEsc)^D$13</f>
        <v>1.05</v>
      </c>
      <c r="E15" s="48" t="n">
        <f aca="false">(1+CostEsc)^E$13</f>
        <v>1.1025</v>
      </c>
      <c r="F15" s="48" t="n">
        <f aca="false">(1+CostEsc)^F$13</f>
        <v>1.157625</v>
      </c>
      <c r="G15" s="48" t="n">
        <f aca="false">(1+CostEsc)^G$13</f>
        <v>1.21550625</v>
      </c>
      <c r="H15" s="48" t="n">
        <f aca="false">(1+CostEsc)^H$13</f>
        <v>1.2762815625</v>
      </c>
      <c r="I15" s="48" t="n">
        <f aca="false">(1+CostEsc)^I$13</f>
        <v>1.340095640625</v>
      </c>
      <c r="J15" s="48" t="n">
        <f aca="false">(1+CostEsc)^J$13</f>
        <v>1.40710042265625</v>
      </c>
      <c r="K15" s="48" t="n">
        <f aca="false">(1+CostEsc)^K$13</f>
        <v>1.47745544378906</v>
      </c>
      <c r="L15" s="48" t="n">
        <f aca="false">(1+CostEsc)^L$13</f>
        <v>1.55132821597852</v>
      </c>
      <c r="M15" s="48" t="n">
        <f aca="false">(1+CostEsc)^M$13</f>
        <v>1.62889462677744</v>
      </c>
      <c r="N15" s="48" t="n">
        <f aca="false">(1+CostEsc)^N$13</f>
        <v>1.71033935811631</v>
      </c>
      <c r="O15" s="48" t="n">
        <f aca="false">(1+CostEsc)^O$13</f>
        <v>1.79585632602213</v>
      </c>
      <c r="P15" s="48" t="n">
        <f aca="false">(1+CostEsc)^P$13</f>
        <v>1.88564914232324</v>
      </c>
      <c r="Q15" s="48" t="n">
        <f aca="false">(1+CostEsc)^Q$13</f>
        <v>1.9799315994394</v>
      </c>
      <c r="R15" s="48" t="n">
        <f aca="false">(1+CostEsc)^R$13</f>
        <v>2.07892817941137</v>
      </c>
      <c r="S15" s="48" t="n">
        <f aca="false">(1+CostEsc)^S$13</f>
        <v>2.18287458838194</v>
      </c>
      <c r="T15" s="48" t="n">
        <f aca="false">(1+CostEsc)^T$13</f>
        <v>2.29201831780103</v>
      </c>
      <c r="U15" s="48" t="n">
        <f aca="false">(1+CostEsc)^U$13</f>
        <v>2.40661923369109</v>
      </c>
      <c r="V15" s="48" t="n">
        <f aca="false">(1+CostEsc)^V$13</f>
        <v>2.52695019537564</v>
      </c>
      <c r="W15" s="48" t="n">
        <f aca="false">(1+CostEsc)^W$13</f>
        <v>2.65329770514442</v>
      </c>
      <c r="X15" s="48" t="n">
        <f aca="false">(1+CostEsc)^X$13</f>
        <v>2.78596259040164</v>
      </c>
      <c r="Y15" s="48" t="n">
        <f aca="false">(1+CostEsc)^Y$13</f>
        <v>2.92526071992173</v>
      </c>
      <c r="Z15" s="48" t="n">
        <f aca="false">(1+CostEsc)^Z$13</f>
        <v>3.07152375591781</v>
      </c>
      <c r="AA15" s="48" t="n">
        <f aca="false">(1+CostEsc)^AA$13</f>
        <v>3.2250999437137</v>
      </c>
      <c r="AB15" s="48" t="n">
        <f aca="false">(1+CostEsc)^AB$13</f>
        <v>3.38635494089939</v>
      </c>
    </row>
    <row r="16" customFormat="false" ht="15" hidden="false" customHeight="false" outlineLevel="0" collapsed="false">
      <c r="A16" s="12" t="s">
        <v>408</v>
      </c>
      <c r="C16" s="48" t="n">
        <v>0</v>
      </c>
      <c r="D16" s="48" t="n">
        <f aca="false">(1-Degr)^(D$13-1)*(1+EnergyEsc)^(D$13-1)</f>
        <v>1</v>
      </c>
      <c r="E16" s="48" t="n">
        <f aca="false">(1-Degr)^(E$13-1)*(1+EnergyEsc)^(E$13-1)</f>
        <v>0.996</v>
      </c>
      <c r="F16" s="48" t="n">
        <f aca="false">(1-Degr)^(F$13-1)*(1+EnergyEsc)^(F$13-1)</f>
        <v>0.992016</v>
      </c>
      <c r="G16" s="48" t="n">
        <f aca="false">(1-Degr)^(G$13-1)*(1+EnergyEsc)^(G$13-1)</f>
        <v>0.988047936</v>
      </c>
      <c r="H16" s="48" t="n">
        <f aca="false">(1-Degr)^(H$13-1)*(1+EnergyEsc)^(H$13-1)</f>
        <v>0.984095744256</v>
      </c>
      <c r="I16" s="48" t="n">
        <f aca="false">(1-Degr)^(I$13-1)*(1+EnergyEsc)^(I$13-1)</f>
        <v>0.980159361278976</v>
      </c>
      <c r="J16" s="48" t="n">
        <f aca="false">(1-Degr)^(J$13-1)*(1+EnergyEsc)^(J$13-1)</f>
        <v>0.97623872383386</v>
      </c>
      <c r="K16" s="48" t="n">
        <f aca="false">(1-Degr)^(K$13-1)*(1+EnergyEsc)^(K$13-1)</f>
        <v>0.972333768938525</v>
      </c>
      <c r="L16" s="48" t="n">
        <f aca="false">(1-Degr)^(L$13-1)*(1+EnergyEsc)^(L$13-1)</f>
        <v>0.968444433862771</v>
      </c>
      <c r="M16" s="48" t="n">
        <f aca="false">(1-Degr)^(M$13-1)*(1+EnergyEsc)^(M$13-1)</f>
        <v>0.964570656127319</v>
      </c>
      <c r="N16" s="48" t="n">
        <f aca="false">(1-Degr)^(N$13-1)*(1+EnergyEsc)^(N$13-1)</f>
        <v>0.96071237350281</v>
      </c>
      <c r="O16" s="48" t="n">
        <f aca="false">(1-Degr)^(O$13-1)*(1+EnergyEsc)^(O$13-1)</f>
        <v>0.956869524008799</v>
      </c>
      <c r="P16" s="48" t="n">
        <f aca="false">(1-Degr)^(P$13-1)*(1+EnergyEsc)^(P$13-1)</f>
        <v>0.953042045912764</v>
      </c>
      <c r="Q16" s="48" t="n">
        <f aca="false">(1-Degr)^(Q$13-1)*(1+EnergyEsc)^(Q$13-1)</f>
        <v>0.949229877729113</v>
      </c>
      <c r="R16" s="48" t="n">
        <f aca="false">(1-Degr)^(R$13-1)*(1+EnergyEsc)^(R$13-1)</f>
        <v>0.945432958218196</v>
      </c>
      <c r="S16" s="48" t="n">
        <f aca="false">(1-Degr)^(S$13-1)*(1+EnergyEsc)^(S$13-1)</f>
        <v>0.941651226385323</v>
      </c>
      <c r="T16" s="48" t="n">
        <f aca="false">(1-Degr)^(T$13-1)*(1+EnergyEsc)^(T$13-1)</f>
        <v>0.937884621479782</v>
      </c>
      <c r="U16" s="48" t="n">
        <f aca="false">(1-Degr)^(U$13-1)*(1+EnergyEsc)^(U$13-1)</f>
        <v>0.934133082993863</v>
      </c>
      <c r="V16" s="48" t="n">
        <f aca="false">(1-Degr)^(V$13-1)*(1+EnergyEsc)^(V$13-1)</f>
        <v>0.930396550661888</v>
      </c>
      <c r="W16" s="48" t="n">
        <f aca="false">(1-Degr)^(W$13-1)*(1+EnergyEsc)^(W$13-1)</f>
        <v>0.92667496445924</v>
      </c>
      <c r="X16" s="48" t="n">
        <f aca="false">(1-Degr)^(X$13-1)*(1+EnergyEsc)^(X$13-1)</f>
        <v>0.922968264601403</v>
      </c>
      <c r="Y16" s="48" t="n">
        <f aca="false">(1-Degr)^(Y$13-1)*(1+EnergyEsc)^(Y$13-1)</f>
        <v>0.919276391542998</v>
      </c>
      <c r="Z16" s="48" t="n">
        <f aca="false">(1-Degr)^(Z$13-1)*(1+EnergyEsc)^(Z$13-1)</f>
        <v>0.915599285976825</v>
      </c>
      <c r="AA16" s="48" t="n">
        <f aca="false">(1-Degr)^(AA$13-1)*(1+EnergyEsc)^(AA$13-1)</f>
        <v>0.911936888832918</v>
      </c>
      <c r="AB16" s="48" t="n">
        <f aca="false">(1-Degr)^(AB$13-1)*(1+EnergyEsc)^(AB$13-1)</f>
        <v>0.908289141277586</v>
      </c>
    </row>
    <row r="17" customFormat="false" ht="15" hidden="false" customHeight="false" outlineLevel="0" collapsed="false">
      <c r="A17" s="12" t="s">
        <v>409</v>
      </c>
      <c r="C17" s="48" t="n">
        <f aca="false">(1+CarbonEsc)^C$13</f>
        <v>1</v>
      </c>
      <c r="D17" s="48" t="n">
        <f aca="false">(1+CarbonEsc)^D$13</f>
        <v>1.05</v>
      </c>
      <c r="E17" s="48" t="n">
        <f aca="false">(1+CarbonEsc)^E$13</f>
        <v>1.1025</v>
      </c>
      <c r="F17" s="48" t="n">
        <f aca="false">(1+CarbonEsc)^F$13</f>
        <v>1.157625</v>
      </c>
      <c r="G17" s="48" t="n">
        <f aca="false">(1+CarbonEsc)^G$13</f>
        <v>1.21550625</v>
      </c>
      <c r="H17" s="48" t="n">
        <f aca="false">(1+CarbonEsc)^H$13</f>
        <v>1.2762815625</v>
      </c>
      <c r="I17" s="48" t="n">
        <f aca="false">(1+CarbonEsc)^I$13</f>
        <v>1.340095640625</v>
      </c>
      <c r="J17" s="48" t="n">
        <f aca="false">(1+CarbonEsc)^J$13</f>
        <v>1.40710042265625</v>
      </c>
      <c r="K17" s="48" t="n">
        <f aca="false">(1+CarbonEsc)^K$13</f>
        <v>1.47745544378906</v>
      </c>
      <c r="L17" s="48" t="n">
        <f aca="false">(1+CarbonEsc)^L$13</f>
        <v>1.55132821597852</v>
      </c>
      <c r="M17" s="48" t="n">
        <f aca="false">(1+CarbonEsc)^M$13</f>
        <v>1.62889462677744</v>
      </c>
      <c r="N17" s="48" t="n">
        <f aca="false">(1+CarbonEsc)^N$13</f>
        <v>1.71033935811631</v>
      </c>
      <c r="O17" s="48" t="n">
        <f aca="false">(1+CarbonEsc)^O$13</f>
        <v>1.79585632602213</v>
      </c>
      <c r="P17" s="48" t="n">
        <f aca="false">(1+CarbonEsc)^P$13</f>
        <v>1.88564914232324</v>
      </c>
      <c r="Q17" s="48" t="n">
        <f aca="false">(1+CarbonEsc)^Q$13</f>
        <v>1.9799315994394</v>
      </c>
      <c r="R17" s="48" t="n">
        <f aca="false">(1+CarbonEsc)^R$13</f>
        <v>2.07892817941137</v>
      </c>
      <c r="S17" s="48" t="n">
        <f aca="false">(1+CarbonEsc)^S$13</f>
        <v>2.18287458838194</v>
      </c>
      <c r="T17" s="48" t="n">
        <f aca="false">(1+CarbonEsc)^T$13</f>
        <v>2.29201831780103</v>
      </c>
      <c r="U17" s="48" t="n">
        <f aca="false">(1+CarbonEsc)^U$13</f>
        <v>2.40661923369109</v>
      </c>
      <c r="V17" s="48" t="n">
        <f aca="false">(1+CarbonEsc)^V$13</f>
        <v>2.52695019537564</v>
      </c>
      <c r="W17" s="48" t="n">
        <f aca="false">(1+CarbonEsc)^W$13</f>
        <v>2.65329770514442</v>
      </c>
      <c r="X17" s="48" t="n">
        <f aca="false">(1+CarbonEsc)^X$13</f>
        <v>2.78596259040164</v>
      </c>
      <c r="Y17" s="48" t="n">
        <f aca="false">(1+CarbonEsc)^Y$13</f>
        <v>2.92526071992173</v>
      </c>
      <c r="Z17" s="48" t="n">
        <f aca="false">(1+CarbonEsc)^Z$13</f>
        <v>3.07152375591781</v>
      </c>
      <c r="AA17" s="48" t="n">
        <f aca="false">(1+CarbonEsc)^AA$13</f>
        <v>3.2250999437137</v>
      </c>
      <c r="AB17" s="48" t="n">
        <f aca="false">(1+CarbonEsc)^AB$13</f>
        <v>3.38635494089939</v>
      </c>
    </row>
    <row r="18" customFormat="false" ht="18" hidden="false" customHeight="true" outlineLevel="0" collapsed="false">
      <c r="A18" s="6" t="s">
        <v>410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customFormat="false" ht="15" hidden="false" customHeight="false" outlineLevel="0" collapsed="false">
      <c r="A19" s="12" t="s">
        <v>411</v>
      </c>
      <c r="C19" s="51" t="n">
        <f aca="false">MainArea*IF(MainBaseline="PQC",'Road LCC'!C26,'Road LCC'!C20)/100000</f>
        <v>360</v>
      </c>
      <c r="D19" s="51" t="n">
        <f aca="false">MainArea*IF(MainBaseline="PQC",'Road LCC'!D26,'Road LCC'!D20)/100000</f>
        <v>3.78</v>
      </c>
      <c r="E19" s="51" t="n">
        <f aca="false">MainArea*IF(MainBaseline="PQC",'Road LCC'!E26,'Road LCC'!E20)/100000</f>
        <v>3.969</v>
      </c>
      <c r="F19" s="51" t="n">
        <f aca="false">MainArea*IF(MainBaseline="PQC",'Road LCC'!F26,'Road LCC'!F20)/100000</f>
        <v>4.16745</v>
      </c>
      <c r="G19" s="51" t="n">
        <f aca="false">MainArea*IF(MainBaseline="PQC",'Road LCC'!G26,'Road LCC'!G20)/100000</f>
        <v>4.3758225</v>
      </c>
      <c r="H19" s="51" t="n">
        <f aca="false">MainArea*IF(MainBaseline="PQC",'Road LCC'!H26,'Road LCC'!H20)/100000</f>
        <v>107.9734201875</v>
      </c>
      <c r="I19" s="51" t="n">
        <f aca="false">MainArea*IF(MainBaseline="PQC",'Road LCC'!I26,'Road LCC'!I20)/100000</f>
        <v>4.82434430625</v>
      </c>
      <c r="J19" s="51" t="n">
        <f aca="false">MainArea*IF(MainBaseline="PQC",'Road LCC'!J26,'Road LCC'!J20)/100000</f>
        <v>5.0655615215625</v>
      </c>
      <c r="K19" s="51" t="n">
        <f aca="false">MainArea*IF(MainBaseline="PQC",'Road LCC'!K26,'Road LCC'!K20)/100000</f>
        <v>5.31883959764063</v>
      </c>
      <c r="L19" s="51" t="n">
        <f aca="false">MainArea*IF(MainBaseline="PQC",'Road LCC'!L26,'Road LCC'!L20)/100000</f>
        <v>5.58478157752266</v>
      </c>
      <c r="M19" s="51" t="n">
        <f aca="false">MainArea*IF(MainBaseline="PQC",'Road LCC'!M26,'Road LCC'!M20)/100000</f>
        <v>137.804485425372</v>
      </c>
      <c r="N19" s="51" t="n">
        <f aca="false">MainArea*IF(MainBaseline="PQC",'Road LCC'!N26,'Road LCC'!N20)/100000</f>
        <v>6.15722168921873</v>
      </c>
      <c r="O19" s="51" t="n">
        <f aca="false">MainArea*IF(MainBaseline="PQC",'Road LCC'!O26,'Road LCC'!O20)/100000</f>
        <v>6.46508277367967</v>
      </c>
      <c r="P19" s="51" t="n">
        <f aca="false">MainArea*IF(MainBaseline="PQC",'Road LCC'!P26,'Road LCC'!P20)/100000</f>
        <v>6.78833691236365</v>
      </c>
      <c r="Q19" s="51" t="n">
        <f aca="false">MainArea*IF(MainBaseline="PQC",'Road LCC'!Q26,'Road LCC'!Q20)/100000</f>
        <v>7.12775375798184</v>
      </c>
      <c r="R19" s="51" t="n">
        <f aca="false">MainArea*IF(MainBaseline="PQC",'Road LCC'!R26,'Road LCC'!R20)/100000</f>
        <v>175.877323978202</v>
      </c>
      <c r="S19" s="51" t="n">
        <f aca="false">MainArea*IF(MainBaseline="PQC",'Road LCC'!S26,'Road LCC'!S20)/100000</f>
        <v>7.85834851817497</v>
      </c>
      <c r="T19" s="51" t="n">
        <f aca="false">MainArea*IF(MainBaseline="PQC",'Road LCC'!T26,'Road LCC'!T20)/100000</f>
        <v>8.25126594408372</v>
      </c>
      <c r="U19" s="51" t="n">
        <f aca="false">MainArea*IF(MainBaseline="PQC",'Road LCC'!U26,'Road LCC'!U20)/100000</f>
        <v>8.66382924128791</v>
      </c>
      <c r="V19" s="51" t="n">
        <f aca="false">MainArea*IF(MainBaseline="PQC",'Road LCC'!V26,'Road LCC'!V20)/100000</f>
        <v>9.09702070335231</v>
      </c>
      <c r="W19" s="51" t="n">
        <f aca="false">MainArea*IF(MainBaseline="PQC",'Road LCC'!W26,'Road LCC'!W20)/100000</f>
        <v>224.468985855218</v>
      </c>
      <c r="X19" s="51" t="n">
        <f aca="false">MainArea*IF(MainBaseline="PQC",'Road LCC'!X26,'Road LCC'!X20)/100000</f>
        <v>10.0294653254459</v>
      </c>
      <c r="Y19" s="51" t="n">
        <f aca="false">MainArea*IF(MainBaseline="PQC",'Road LCC'!Y26,'Road LCC'!Y20)/100000</f>
        <v>10.5309385917182</v>
      </c>
      <c r="Z19" s="51" t="n">
        <f aca="false">MainArea*IF(MainBaseline="PQC",'Road LCC'!Z26,'Road LCC'!Z20)/100000</f>
        <v>11.0574855213041</v>
      </c>
      <c r="AA19" s="51" t="n">
        <f aca="false">MainArea*IF(MainBaseline="PQC",'Road LCC'!AA26,'Road LCC'!AA20)/100000</f>
        <v>11.6103597973693</v>
      </c>
      <c r="AB19" s="51" t="n">
        <f aca="false">MainArea*IF(MainBaseline="PQC",'Road LCC'!AB26,'Road LCC'!AB20)/100000</f>
        <v>12.1908777872378</v>
      </c>
      <c r="AC19" s="53" t="n">
        <f aca="false">SUMPRODUCT(C19:AB19,C$14:AB$14)</f>
        <v>599.288360861366</v>
      </c>
    </row>
    <row r="20" customFormat="false" ht="15" hidden="false" customHeight="false" outlineLevel="0" collapsed="false">
      <c r="A20" s="12" t="s">
        <v>412</v>
      </c>
      <c r="C20" s="51" t="n">
        <f aca="false">TrackArea*'Road LCC'!C14/100000</f>
        <v>189</v>
      </c>
      <c r="D20" s="51" t="n">
        <f aca="false">TrackArea*'Road LCC'!D14/100000</f>
        <v>38.03625</v>
      </c>
      <c r="E20" s="51" t="n">
        <f aca="false">TrackArea*'Road LCC'!E14/100000</f>
        <v>39.9380625</v>
      </c>
      <c r="F20" s="51" t="n">
        <f aca="false">TrackArea*'Road LCC'!F14/100000</f>
        <v>14.586075</v>
      </c>
      <c r="G20" s="51" t="n">
        <f aca="false">TrackArea*'Road LCC'!G14/100000</f>
        <v>111.0364959375</v>
      </c>
      <c r="H20" s="51" t="n">
        <f aca="false">TrackArea*'Road LCC'!H14/100000</f>
        <v>16.0811476875</v>
      </c>
      <c r="I20" s="51" t="n">
        <f aca="false">TrackArea*'Road LCC'!I14/100000</f>
        <v>16.885205071875</v>
      </c>
      <c r="J20" s="51" t="n">
        <f aca="false">TrackArea*'Road LCC'!J14/100000</f>
        <v>17.7294653254688</v>
      </c>
      <c r="K20" s="51" t="n">
        <f aca="false">TrackArea*'Road LCC'!K14/100000</f>
        <v>134.965554790131</v>
      </c>
      <c r="L20" s="51" t="n">
        <f aca="false">TrackArea*'Road LCC'!L14/100000</f>
        <v>19.5467355213293</v>
      </c>
      <c r="M20" s="51" t="n">
        <f aca="false">TrackArea*'Road LCC'!M14/100000</f>
        <v>20.5240722973958</v>
      </c>
      <c r="N20" s="51" t="n">
        <f aca="false">TrackArea*'Road LCC'!N14/100000</f>
        <v>21.5502759122656</v>
      </c>
      <c r="O20" s="51" t="n">
        <f aca="false">TrackArea*'Road LCC'!O14/100000</f>
        <v>164.051475382122</v>
      </c>
      <c r="P20" s="51" t="n">
        <f aca="false">TrackArea*'Road LCC'!P14/100000</f>
        <v>23.7591791932728</v>
      </c>
      <c r="Q20" s="51" t="n">
        <f aca="false">TrackArea*'Road LCC'!Q14/100000</f>
        <v>24.9471381529364</v>
      </c>
      <c r="R20" s="51" t="n">
        <f aca="false">TrackArea*'Road LCC'!R14/100000</f>
        <v>26.1944950605832</v>
      </c>
      <c r="S20" s="51" t="n">
        <f aca="false">TrackArea*'Road LCC'!S14/100000</f>
        <v>199.40559364869</v>
      </c>
      <c r="T20" s="51" t="n">
        <f aca="false">TrackArea*'Road LCC'!T14/100000</f>
        <v>28.879430804293</v>
      </c>
      <c r="U20" s="51" t="n">
        <f aca="false">TrackArea*'Road LCC'!U14/100000</f>
        <v>30.3234023445077</v>
      </c>
      <c r="V20" s="51" t="n">
        <f aca="false">TrackArea*'Road LCC'!V14/100000</f>
        <v>31.8395724617331</v>
      </c>
      <c r="W20" s="51" t="n">
        <f aca="false">TrackArea*'Road LCC'!W14/100000</f>
        <v>242.378745364943</v>
      </c>
      <c r="X20" s="51" t="n">
        <f aca="false">TrackArea*'Road LCC'!X14/100000</f>
        <v>35.1031286390607</v>
      </c>
      <c r="Y20" s="51" t="n">
        <f aca="false">TrackArea*'Road LCC'!Y14/100000</f>
        <v>36.8582850710137</v>
      </c>
      <c r="Z20" s="51" t="n">
        <f aca="false">TrackArea*'Road LCC'!Z14/100000</f>
        <v>38.7011993245644</v>
      </c>
      <c r="AA20" s="51" t="n">
        <f aca="false">TrackArea*'Road LCC'!AA14/100000</f>
        <v>294.612879858247</v>
      </c>
      <c r="AB20" s="51" t="n">
        <f aca="false">TrackArea*'Road LCC'!AB14/100000</f>
        <v>42.6680722553323</v>
      </c>
      <c r="AC20" s="53" t="n">
        <f aca="false">SUMPRODUCT(C20:AB20,C$14:AB$14)</f>
        <v>673.950537358029</v>
      </c>
    </row>
    <row r="21" customFormat="false" ht="15" hidden="false" customHeight="false" outlineLevel="0" collapsed="false">
      <c r="A21" s="12" t="s">
        <v>413</v>
      </c>
      <c r="C21" s="51" t="n">
        <f aca="false">MainArea*'Road LCC'!C32/100000</f>
        <v>365.256</v>
      </c>
      <c r="D21" s="51" t="n">
        <f aca="false">MainArea*'Road LCC'!D32/100000</f>
        <v>1.917594</v>
      </c>
      <c r="E21" s="51" t="n">
        <f aca="false">MainArea*'Road LCC'!E32/100000</f>
        <v>2.0134737</v>
      </c>
      <c r="F21" s="51" t="n">
        <f aca="false">MainArea*'Road LCC'!F32/100000</f>
        <v>2.114147385</v>
      </c>
      <c r="G21" s="51" t="n">
        <f aca="false">MainArea*'Road LCC'!G32/100000</f>
        <v>2.21985475425</v>
      </c>
      <c r="H21" s="51" t="n">
        <f aca="false">MainArea*'Road LCC'!H32/100000</f>
        <v>2.3308474919625</v>
      </c>
      <c r="I21" s="51" t="n">
        <f aca="false">MainArea*'Road LCC'!I32/100000</f>
        <v>2.44738986656063</v>
      </c>
      <c r="J21" s="51" t="n">
        <f aca="false">MainArea*'Road LCC'!J32/100000</f>
        <v>2.56975935988866</v>
      </c>
      <c r="K21" s="51" t="n">
        <f aca="false">MainArea*'Road LCC'!K32/100000</f>
        <v>2.69824732788309</v>
      </c>
      <c r="L21" s="51" t="n">
        <f aca="false">MainArea*'Road LCC'!L32/100000</f>
        <v>2.83315969427725</v>
      </c>
      <c r="M21" s="51" t="n">
        <f aca="false">MainArea*'Road LCC'!M32/100000</f>
        <v>46.954972601982</v>
      </c>
      <c r="N21" s="51" t="n">
        <f aca="false">MainArea*'Road LCC'!N32/100000</f>
        <v>3.12355856294066</v>
      </c>
      <c r="O21" s="51" t="n">
        <f aca="false">MainArea*'Road LCC'!O32/100000</f>
        <v>3.2797364910877</v>
      </c>
      <c r="P21" s="51" t="n">
        <f aca="false">MainArea*'Road LCC'!P32/100000</f>
        <v>3.44372331564208</v>
      </c>
      <c r="Q21" s="51" t="n">
        <f aca="false">MainArea*'Road LCC'!Q32/100000</f>
        <v>3.61590948142419</v>
      </c>
      <c r="R21" s="51" t="n">
        <f aca="false">MainArea*'Road LCC'!R32/100000</f>
        <v>3.7967049554954</v>
      </c>
      <c r="S21" s="51" t="n">
        <f aca="false">MainArea*'Road LCC'!S32/100000</f>
        <v>3.98654020327016</v>
      </c>
      <c r="T21" s="51" t="n">
        <f aca="false">MainArea*'Road LCC'!T32/100000</f>
        <v>4.18586721343367</v>
      </c>
      <c r="U21" s="51" t="n">
        <f aca="false">MainArea*'Road LCC'!U32/100000</f>
        <v>4.39516057410536</v>
      </c>
      <c r="V21" s="51" t="n">
        <f aca="false">MainArea*'Road LCC'!V32/100000</f>
        <v>4.61491860281063</v>
      </c>
      <c r="W21" s="51" t="n">
        <f aca="false">MainArea*'Road LCC'!W32/100000</f>
        <v>76.4847025718506</v>
      </c>
      <c r="X21" s="51" t="n">
        <f aca="false">MainArea*'Road LCC'!X32/100000</f>
        <v>5.08794775959871</v>
      </c>
      <c r="Y21" s="51" t="n">
        <f aca="false">MainArea*'Road LCC'!Y32/100000</f>
        <v>5.34234514757865</v>
      </c>
      <c r="Z21" s="51" t="n">
        <f aca="false">MainArea*'Road LCC'!Z32/100000</f>
        <v>5.60946240495758</v>
      </c>
      <c r="AA21" s="51" t="n">
        <f aca="false">MainArea*'Road LCC'!AA32/100000</f>
        <v>5.88993552520546</v>
      </c>
      <c r="AB21" s="51" t="n">
        <f aca="false">MainArea*'Road LCC'!AB32/100000</f>
        <v>6.18443230146574</v>
      </c>
      <c r="AC21" s="53" t="n">
        <f aca="false">SUMPRODUCT(C21:AB21,C$14:AB$14)</f>
        <v>419.226054720025</v>
      </c>
    </row>
    <row r="22" customFormat="false" ht="15" hidden="false" customHeight="false" outlineLevel="0" collapsed="false">
      <c r="A22" s="12" t="s">
        <v>414</v>
      </c>
      <c r="C22" s="51" t="n">
        <f aca="false">TrackArea*'Road LCC'!C39/100000</f>
        <v>529.6725</v>
      </c>
      <c r="D22" s="51" t="n">
        <f aca="false">TrackArea*'Road LCC'!D39/100000</f>
        <v>10.222655625</v>
      </c>
      <c r="E22" s="51" t="n">
        <f aca="false">TrackArea*'Road LCC'!E39/100000</f>
        <v>10.73378840625</v>
      </c>
      <c r="F22" s="51" t="n">
        <f aca="false">TrackArea*'Road LCC'!F39/100000</f>
        <v>15.8286262640625</v>
      </c>
      <c r="G22" s="51" t="n">
        <f aca="false">TrackArea*'Road LCC'!G39/100000</f>
        <v>3.21910117101563</v>
      </c>
      <c r="H22" s="51" t="n">
        <f aca="false">TrackArea*'Road LCC'!H39/100000</f>
        <v>3.38005622956641</v>
      </c>
      <c r="I22" s="51" t="n">
        <f aca="false">TrackArea*'Road LCC'!I39/100000</f>
        <v>18.3236134789354</v>
      </c>
      <c r="J22" s="51" t="n">
        <f aca="false">TrackArea*'Road LCC'!J39/100000</f>
        <v>3.72651199309696</v>
      </c>
      <c r="K22" s="51" t="n">
        <f aca="false">TrackArea*'Road LCC'!K39/100000</f>
        <v>3.91283759275181</v>
      </c>
      <c r="L22" s="51" t="n">
        <f aca="false">TrackArea*'Road LCC'!L39/100000</f>
        <v>21.2118730535525</v>
      </c>
      <c r="M22" s="51" t="n">
        <f aca="false">TrackArea*'Road LCC'!M39/100000</f>
        <v>4.31390344600887</v>
      </c>
      <c r="N22" s="51" t="n">
        <f aca="false">TrackArea*'Road LCC'!N39/100000</f>
        <v>4.52959861830932</v>
      </c>
      <c r="O22" s="51" t="n">
        <f aca="false">TrackArea*'Road LCC'!O39/100000</f>
        <v>24.5553945436188</v>
      </c>
      <c r="P22" s="51" t="n">
        <f aca="false">TrackArea*'Road LCC'!P39/100000</f>
        <v>4.99388247668602</v>
      </c>
      <c r="Q22" s="51" t="n">
        <f aca="false">TrackArea*'Road LCC'!Q39/100000</f>
        <v>5.24357660052033</v>
      </c>
      <c r="R22" s="51" t="n">
        <f aca="false">TrackArea*'Road LCC'!R39/100000</f>
        <v>28.4259386085567</v>
      </c>
      <c r="S22" s="51" t="n">
        <f aca="false">TrackArea*'Road LCC'!S39/100000</f>
        <v>5.78104320207366</v>
      </c>
      <c r="T22" s="51" t="n">
        <f aca="false">TrackArea*'Road LCC'!T39/100000</f>
        <v>6.07009536217734</v>
      </c>
      <c r="U22" s="51" t="n">
        <f aca="false">TrackArea*'Road LCC'!U39/100000</f>
        <v>32.9065771817304</v>
      </c>
      <c r="V22" s="51" t="n">
        <f aca="false">TrackArea*'Road LCC'!V39/100000</f>
        <v>6.69228013680052</v>
      </c>
      <c r="W22" s="51" t="n">
        <f aca="false">TrackArea*'Road LCC'!W39/100000</f>
        <v>7.02689414364055</v>
      </c>
      <c r="X22" s="51" t="n">
        <f aca="false">TrackArea*'Road LCC'!X39/100000</f>
        <v>38.0934764100007</v>
      </c>
      <c r="Y22" s="51" t="n">
        <f aca="false">TrackArea*'Road LCC'!Y39/100000</f>
        <v>7.7471507933637</v>
      </c>
      <c r="Z22" s="51" t="n">
        <f aca="false">TrackArea*'Road LCC'!Z39/100000</f>
        <v>8.13450833303189</v>
      </c>
      <c r="AA22" s="51" t="n">
        <f aca="false">TrackArea*'Road LCC'!AA39/100000</f>
        <v>44.0979606291271</v>
      </c>
      <c r="AB22" s="51" t="n">
        <f aca="false">TrackArea*'Road LCC'!AB39/100000</f>
        <v>8.96829543716766</v>
      </c>
      <c r="AC22" s="53" t="n">
        <f aca="false">SUMPRODUCT(C22:AB22,C$14:AB$14)</f>
        <v>630.639293589327</v>
      </c>
    </row>
    <row r="23" customFormat="false" ht="15" hidden="false" customHeight="false" outlineLevel="0" collapsed="false">
      <c r="A23" s="4" t="s">
        <v>415</v>
      </c>
      <c r="C23" s="53" t="n">
        <f aca="false">C19+C20-C21-C22</f>
        <v>-345.9285</v>
      </c>
      <c r="D23" s="53" t="n">
        <f aca="false">D19+D20-D21-D22</f>
        <v>29.676000375</v>
      </c>
      <c r="E23" s="53" t="n">
        <f aca="false">E19+E20-E21-E22</f>
        <v>31.15980039375</v>
      </c>
      <c r="F23" s="53" t="n">
        <f aca="false">F19+F20-F21-F22</f>
        <v>0.810751350937505</v>
      </c>
      <c r="G23" s="53" t="n">
        <f aca="false">G19+G20-G21-G22</f>
        <v>109.973362512234</v>
      </c>
      <c r="H23" s="53" t="n">
        <f aca="false">H19+H20-H21-H22</f>
        <v>118.343664153471</v>
      </c>
      <c r="I23" s="53" t="n">
        <f aca="false">I19+I20-I21-I22</f>
        <v>0.93854603262902</v>
      </c>
      <c r="J23" s="53" t="n">
        <f aca="false">J19+J20-J21-J22</f>
        <v>16.4987554940456</v>
      </c>
      <c r="K23" s="53" t="n">
        <f aca="false">K19+K20-K21-K22</f>
        <v>133.673309467137</v>
      </c>
      <c r="L23" s="53" t="n">
        <f aca="false">L19+L20-L21-L22</f>
        <v>1.08648435102218</v>
      </c>
      <c r="M23" s="53" t="n">
        <f aca="false">M19+M20-M21-M22</f>
        <v>107.059681674776</v>
      </c>
      <c r="N23" s="53" t="n">
        <f aca="false">N19+N20-N21-N22</f>
        <v>20.0543404202343</v>
      </c>
      <c r="O23" s="53" t="n">
        <f aca="false">O19+O20-O21-O22</f>
        <v>142.681427121095</v>
      </c>
      <c r="P23" s="53" t="n">
        <f aca="false">P19+P20-P21-P22</f>
        <v>22.1099103133083</v>
      </c>
      <c r="Q23" s="53" t="n">
        <f aca="false">Q19+Q20-Q21-Q22</f>
        <v>23.2154058289737</v>
      </c>
      <c r="R23" s="53" t="n">
        <f aca="false">R19+R20-R21-R22</f>
        <v>169.849175474733</v>
      </c>
      <c r="S23" s="53" t="n">
        <f aca="false">S19+S20-S21-S22</f>
        <v>197.496358761521</v>
      </c>
      <c r="T23" s="53" t="n">
        <f aca="false">T19+T20-T21-T22</f>
        <v>26.8747341727657</v>
      </c>
      <c r="U23" s="53" t="n">
        <f aca="false">U19+U20-U21-U22</f>
        <v>1.6854938299598</v>
      </c>
      <c r="V23" s="53" t="n">
        <f aca="false">V19+V20-V21-V22</f>
        <v>29.6293944254742</v>
      </c>
      <c r="W23" s="53" t="n">
        <f aca="false">W19+W20-W21-W22</f>
        <v>383.33613450467</v>
      </c>
      <c r="X23" s="53" t="n">
        <f aca="false">X19+X20-X21-X22</f>
        <v>1.95116979490723</v>
      </c>
      <c r="Y23" s="53" t="n">
        <f aca="false">Y19+Y20-Y21-Y22</f>
        <v>34.2997277217896</v>
      </c>
      <c r="Z23" s="53" t="n">
        <f aca="false">Z19+Z20-Z21-Z22</f>
        <v>36.0147141078791</v>
      </c>
      <c r="AA23" s="53" t="n">
        <f aca="false">AA19+AA20-AA21-AA22</f>
        <v>256.235343501284</v>
      </c>
      <c r="AB23" s="53" t="n">
        <f aca="false">AB19+AB20-AB21-AB22</f>
        <v>39.7062223039367</v>
      </c>
      <c r="AC23" s="53" t="n">
        <f aca="false">SUMPRODUCT(C23:AB23,C$14:AB$14)</f>
        <v>223.373549910044</v>
      </c>
    </row>
    <row r="24" customFormat="false" ht="18" hidden="false" customHeight="true" outlineLevel="0" collapsed="false">
      <c r="A24" s="6" t="s">
        <v>416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customFormat="false" ht="15" hidden="false" customHeight="false" outlineLevel="0" collapsed="false">
      <c r="A25" s="12" t="s">
        <v>417</v>
      </c>
      <c r="C25" s="22" t="n">
        <v>0</v>
      </c>
      <c r="D25" s="22" t="n">
        <f aca="false">BlockMWp*Yield*SoilingLoss*DustShare*DustCutS2*D16</f>
        <v>589.05</v>
      </c>
      <c r="E25" s="22" t="n">
        <f aca="false">BlockMWp*Yield*SoilingLoss*DustShare*DustCutS2*E16</f>
        <v>586.6938</v>
      </c>
      <c r="F25" s="22" t="n">
        <f aca="false">BlockMWp*Yield*SoilingLoss*DustShare*DustCutS2*F16</f>
        <v>584.3470248</v>
      </c>
      <c r="G25" s="22" t="n">
        <f aca="false">BlockMWp*Yield*SoilingLoss*DustShare*DustCutS2*G16</f>
        <v>582.0096367008</v>
      </c>
      <c r="H25" s="22" t="n">
        <f aca="false">BlockMWp*Yield*SoilingLoss*DustShare*DustCutS2*H16</f>
        <v>579.681598153997</v>
      </c>
      <c r="I25" s="22" t="n">
        <f aca="false">BlockMWp*Yield*SoilingLoss*DustShare*DustCutS2*I16</f>
        <v>577.362871761381</v>
      </c>
      <c r="J25" s="22" t="n">
        <f aca="false">BlockMWp*Yield*SoilingLoss*DustShare*DustCutS2*J16</f>
        <v>575.053420274335</v>
      </c>
      <c r="K25" s="22" t="n">
        <f aca="false">BlockMWp*Yield*SoilingLoss*DustShare*DustCutS2*K16</f>
        <v>572.753206593238</v>
      </c>
      <c r="L25" s="22" t="n">
        <f aca="false">BlockMWp*Yield*SoilingLoss*DustShare*DustCutS2*L16</f>
        <v>570.462193766865</v>
      </c>
      <c r="M25" s="22" t="n">
        <f aca="false">BlockMWp*Yield*SoilingLoss*DustShare*DustCutS2*M16</f>
        <v>568.180344991798</v>
      </c>
      <c r="N25" s="22" t="n">
        <f aca="false">BlockMWp*Yield*SoilingLoss*DustShare*DustCutS2*N16</f>
        <v>565.90762361183</v>
      </c>
      <c r="O25" s="22" t="n">
        <f aca="false">BlockMWp*Yield*SoilingLoss*DustShare*DustCutS2*O16</f>
        <v>563.643993117383</v>
      </c>
      <c r="P25" s="22" t="n">
        <f aca="false">BlockMWp*Yield*SoilingLoss*DustShare*DustCutS2*P16</f>
        <v>561.389417144913</v>
      </c>
      <c r="Q25" s="22" t="n">
        <f aca="false">BlockMWp*Yield*SoilingLoss*DustShare*DustCutS2*Q16</f>
        <v>559.143859476334</v>
      </c>
      <c r="R25" s="22" t="n">
        <f aca="false">BlockMWp*Yield*SoilingLoss*DustShare*DustCutS2*R16</f>
        <v>556.907284038428</v>
      </c>
      <c r="S25" s="22" t="n">
        <f aca="false">BlockMWp*Yield*SoilingLoss*DustShare*DustCutS2*S16</f>
        <v>554.679654902275</v>
      </c>
      <c r="T25" s="22" t="n">
        <f aca="false">BlockMWp*Yield*SoilingLoss*DustShare*DustCutS2*T16</f>
        <v>552.460936282666</v>
      </c>
      <c r="U25" s="22" t="n">
        <f aca="false">BlockMWp*Yield*SoilingLoss*DustShare*DustCutS2*U16</f>
        <v>550.251092537535</v>
      </c>
      <c r="V25" s="22" t="n">
        <f aca="false">BlockMWp*Yield*SoilingLoss*DustShare*DustCutS2*V16</f>
        <v>548.050088167385</v>
      </c>
      <c r="W25" s="22" t="n">
        <f aca="false">BlockMWp*Yield*SoilingLoss*DustShare*DustCutS2*W16</f>
        <v>545.857887814715</v>
      </c>
      <c r="X25" s="22" t="n">
        <f aca="false">BlockMWp*Yield*SoilingLoss*DustShare*DustCutS2*X16</f>
        <v>543.674456263456</v>
      </c>
      <c r="Y25" s="22" t="n">
        <f aca="false">BlockMWp*Yield*SoilingLoss*DustShare*DustCutS2*Y16</f>
        <v>541.499758438403</v>
      </c>
      <c r="Z25" s="22" t="n">
        <f aca="false">BlockMWp*Yield*SoilingLoss*DustShare*DustCutS2*Z16</f>
        <v>539.333759404649</v>
      </c>
      <c r="AA25" s="22" t="n">
        <f aca="false">BlockMWp*Yield*SoilingLoss*DustShare*DustCutS2*AA16</f>
        <v>537.17642436703</v>
      </c>
      <c r="AB25" s="22" t="n">
        <f aca="false">BlockMWp*Yield*SoilingLoss*DustShare*DustCutS2*AB16</f>
        <v>535.027718669562</v>
      </c>
      <c r="AC25" s="36" t="n">
        <f aca="false">SUM(C25:AB25)</f>
        <v>14040.598051279</v>
      </c>
    </row>
    <row r="26" customFormat="false" ht="15" hidden="false" customHeight="false" outlineLevel="0" collapsed="false">
      <c r="A26" s="12" t="s">
        <v>418</v>
      </c>
      <c r="C26" s="51" t="n">
        <v>0</v>
      </c>
      <c r="D26" s="51" t="n">
        <f aca="false">D25*1000*EnergyValue/100000</f>
        <v>15.90435</v>
      </c>
      <c r="E26" s="51" t="n">
        <f aca="false">E25*1000*EnergyValue/100000</f>
        <v>15.8407326</v>
      </c>
      <c r="F26" s="51" t="n">
        <f aca="false">F25*1000*EnergyValue/100000</f>
        <v>15.7773696696</v>
      </c>
      <c r="G26" s="51" t="n">
        <f aca="false">G25*1000*EnergyValue/100000</f>
        <v>15.7142601909216</v>
      </c>
      <c r="H26" s="51" t="n">
        <f aca="false">H25*1000*EnergyValue/100000</f>
        <v>15.6514031501579</v>
      </c>
      <c r="I26" s="51" t="n">
        <f aca="false">I25*1000*EnergyValue/100000</f>
        <v>15.5887975375573</v>
      </c>
      <c r="J26" s="51" t="n">
        <f aca="false">J25*1000*EnergyValue/100000</f>
        <v>15.5264423474071</v>
      </c>
      <c r="K26" s="51" t="n">
        <f aca="false">K25*1000*EnergyValue/100000</f>
        <v>15.4643365780174</v>
      </c>
      <c r="L26" s="51" t="n">
        <f aca="false">L25*1000*EnergyValue/100000</f>
        <v>15.4024792317054</v>
      </c>
      <c r="M26" s="51" t="n">
        <f aca="false">M25*1000*EnergyValue/100000</f>
        <v>15.3408693147785</v>
      </c>
      <c r="N26" s="51" t="n">
        <f aca="false">N25*1000*EnergyValue/100000</f>
        <v>15.2795058375194</v>
      </c>
      <c r="O26" s="51" t="n">
        <f aca="false">O25*1000*EnergyValue/100000</f>
        <v>15.2183878141693</v>
      </c>
      <c r="P26" s="51" t="n">
        <f aca="false">P25*1000*EnergyValue/100000</f>
        <v>15.1575142629127</v>
      </c>
      <c r="Q26" s="51" t="n">
        <f aca="false">Q25*1000*EnergyValue/100000</f>
        <v>15.096884205861</v>
      </c>
      <c r="R26" s="51" t="n">
        <f aca="false">R25*1000*EnergyValue/100000</f>
        <v>15.0364966690376</v>
      </c>
      <c r="S26" s="51" t="n">
        <f aca="false">S25*1000*EnergyValue/100000</f>
        <v>14.9763506823614</v>
      </c>
      <c r="T26" s="51" t="n">
        <f aca="false">T25*1000*EnergyValue/100000</f>
        <v>14.916445279632</v>
      </c>
      <c r="U26" s="51" t="n">
        <f aca="false">U25*1000*EnergyValue/100000</f>
        <v>14.8567794985134</v>
      </c>
      <c r="V26" s="51" t="n">
        <f aca="false">V25*1000*EnergyValue/100000</f>
        <v>14.7973523805194</v>
      </c>
      <c r="W26" s="51" t="n">
        <f aca="false">W25*1000*EnergyValue/100000</f>
        <v>14.7381629709973</v>
      </c>
      <c r="X26" s="51" t="n">
        <f aca="false">X25*1000*EnergyValue/100000</f>
        <v>14.6792103191133</v>
      </c>
      <c r="Y26" s="51" t="n">
        <f aca="false">Y25*1000*EnergyValue/100000</f>
        <v>14.6204934778369</v>
      </c>
      <c r="Z26" s="51" t="n">
        <f aca="false">Z25*1000*EnergyValue/100000</f>
        <v>14.5620115039255</v>
      </c>
      <c r="AA26" s="51" t="n">
        <f aca="false">AA25*1000*EnergyValue/100000</f>
        <v>14.5037634579098</v>
      </c>
      <c r="AB26" s="51" t="n">
        <f aca="false">AB25*1000*EnergyValue/100000</f>
        <v>14.4457484040782</v>
      </c>
      <c r="AC26" s="53" t="n">
        <f aca="false">SUMPRODUCT(C26:AB26,C$14:AB$14)</f>
        <v>140.157676641388</v>
      </c>
    </row>
    <row r="27" customFormat="false" ht="15" hidden="false" customHeight="false" outlineLevel="0" collapsed="false">
      <c r="A27" s="12" t="s">
        <v>419</v>
      </c>
      <c r="C27" s="51" t="n">
        <v>0</v>
      </c>
      <c r="D27" s="51" t="n">
        <f aca="false">BlockMWp*CleanCost*CleanSave*D15</f>
        <v>0</v>
      </c>
      <c r="E27" s="51" t="n">
        <f aca="false">BlockMWp*CleanCost*CleanSave*E15</f>
        <v>0</v>
      </c>
      <c r="F27" s="51" t="n">
        <f aca="false">BlockMWp*CleanCost*CleanSave*F15</f>
        <v>0</v>
      </c>
      <c r="G27" s="51" t="n">
        <f aca="false">BlockMWp*CleanCost*CleanSave*G15</f>
        <v>0</v>
      </c>
      <c r="H27" s="51" t="n">
        <f aca="false">BlockMWp*CleanCost*CleanSave*H15</f>
        <v>0</v>
      </c>
      <c r="I27" s="51" t="n">
        <f aca="false">BlockMWp*CleanCost*CleanSave*I15</f>
        <v>0</v>
      </c>
      <c r="J27" s="51" t="n">
        <f aca="false">BlockMWp*CleanCost*CleanSave*J15</f>
        <v>0</v>
      </c>
      <c r="K27" s="51" t="n">
        <f aca="false">BlockMWp*CleanCost*CleanSave*K15</f>
        <v>0</v>
      </c>
      <c r="L27" s="51" t="n">
        <f aca="false">BlockMWp*CleanCost*CleanSave*L15</f>
        <v>0</v>
      </c>
      <c r="M27" s="51" t="n">
        <f aca="false">BlockMWp*CleanCost*CleanSave*M15</f>
        <v>0</v>
      </c>
      <c r="N27" s="51" t="n">
        <f aca="false">BlockMWp*CleanCost*CleanSave*N15</f>
        <v>0</v>
      </c>
      <c r="O27" s="51" t="n">
        <f aca="false">BlockMWp*CleanCost*CleanSave*O15</f>
        <v>0</v>
      </c>
      <c r="P27" s="51" t="n">
        <f aca="false">BlockMWp*CleanCost*CleanSave*P15</f>
        <v>0</v>
      </c>
      <c r="Q27" s="51" t="n">
        <f aca="false">BlockMWp*CleanCost*CleanSave*Q15</f>
        <v>0</v>
      </c>
      <c r="R27" s="51" t="n">
        <f aca="false">BlockMWp*CleanCost*CleanSave*R15</f>
        <v>0</v>
      </c>
      <c r="S27" s="51" t="n">
        <f aca="false">BlockMWp*CleanCost*CleanSave*S15</f>
        <v>0</v>
      </c>
      <c r="T27" s="51" t="n">
        <f aca="false">BlockMWp*CleanCost*CleanSave*T15</f>
        <v>0</v>
      </c>
      <c r="U27" s="51" t="n">
        <f aca="false">BlockMWp*CleanCost*CleanSave*U15</f>
        <v>0</v>
      </c>
      <c r="V27" s="51" t="n">
        <f aca="false">BlockMWp*CleanCost*CleanSave*V15</f>
        <v>0</v>
      </c>
      <c r="W27" s="51" t="n">
        <f aca="false">BlockMWp*CleanCost*CleanSave*W15</f>
        <v>0</v>
      </c>
      <c r="X27" s="51" t="n">
        <f aca="false">BlockMWp*CleanCost*CleanSave*X15</f>
        <v>0</v>
      </c>
      <c r="Y27" s="51" t="n">
        <f aca="false">BlockMWp*CleanCost*CleanSave*Y15</f>
        <v>0</v>
      </c>
      <c r="Z27" s="51" t="n">
        <f aca="false">BlockMWp*CleanCost*CleanSave*Z15</f>
        <v>0</v>
      </c>
      <c r="AA27" s="51" t="n">
        <f aca="false">BlockMWp*CleanCost*CleanSave*AA15</f>
        <v>0</v>
      </c>
      <c r="AB27" s="51" t="n">
        <f aca="false">BlockMWp*CleanCost*CleanSave*AB15</f>
        <v>0</v>
      </c>
      <c r="AC27" s="53" t="n">
        <f aca="false">SUMPRODUCT(C27:AB27,C$14:AB$14)</f>
        <v>0</v>
      </c>
    </row>
    <row r="28" customFormat="false" ht="15" hidden="false" customHeight="false" outlineLevel="0" collapsed="false">
      <c r="A28" s="12" t="s">
        <v>420</v>
      </c>
      <c r="C28" s="51" t="n">
        <v>0</v>
      </c>
      <c r="D28" s="51" t="n">
        <f aca="false">IF(D$13=1,DaysEarly*BlockMWp*Yield/365*1000*EnergyValue/100000,0)</f>
        <v>0</v>
      </c>
      <c r="E28" s="51" t="n">
        <f aca="false">IF(E$13=1,DaysEarly*BlockMWp*Yield/365*1000*EnergyValue/100000,0)</f>
        <v>0</v>
      </c>
      <c r="F28" s="51" t="n">
        <f aca="false">IF(F$13=1,DaysEarly*BlockMWp*Yield/365*1000*EnergyValue/100000,0)</f>
        <v>0</v>
      </c>
      <c r="G28" s="51" t="n">
        <f aca="false">IF(G$13=1,DaysEarly*BlockMWp*Yield/365*1000*EnergyValue/100000,0)</f>
        <v>0</v>
      </c>
      <c r="H28" s="51" t="n">
        <f aca="false">IF(H$13=1,DaysEarly*BlockMWp*Yield/365*1000*EnergyValue/100000,0)</f>
        <v>0</v>
      </c>
      <c r="I28" s="51" t="n">
        <f aca="false">IF(I$13=1,DaysEarly*BlockMWp*Yield/365*1000*EnergyValue/100000,0)</f>
        <v>0</v>
      </c>
      <c r="J28" s="51" t="n">
        <f aca="false">IF(J$13=1,DaysEarly*BlockMWp*Yield/365*1000*EnergyValue/100000,0)</f>
        <v>0</v>
      </c>
      <c r="K28" s="51" t="n">
        <f aca="false">IF(K$13=1,DaysEarly*BlockMWp*Yield/365*1000*EnergyValue/100000,0)</f>
        <v>0</v>
      </c>
      <c r="L28" s="51" t="n">
        <f aca="false">IF(L$13=1,DaysEarly*BlockMWp*Yield/365*1000*EnergyValue/100000,0)</f>
        <v>0</v>
      </c>
      <c r="M28" s="51" t="n">
        <f aca="false">IF(M$13=1,DaysEarly*BlockMWp*Yield/365*1000*EnergyValue/100000,0)</f>
        <v>0</v>
      </c>
      <c r="N28" s="51" t="n">
        <f aca="false">IF(N$13=1,DaysEarly*BlockMWp*Yield/365*1000*EnergyValue/100000,0)</f>
        <v>0</v>
      </c>
      <c r="O28" s="51" t="n">
        <f aca="false">IF(O$13=1,DaysEarly*BlockMWp*Yield/365*1000*EnergyValue/100000,0)</f>
        <v>0</v>
      </c>
      <c r="P28" s="51" t="n">
        <f aca="false">IF(P$13=1,DaysEarly*BlockMWp*Yield/365*1000*EnergyValue/100000,0)</f>
        <v>0</v>
      </c>
      <c r="Q28" s="51" t="n">
        <f aca="false">IF(Q$13=1,DaysEarly*BlockMWp*Yield/365*1000*EnergyValue/100000,0)</f>
        <v>0</v>
      </c>
      <c r="R28" s="51" t="n">
        <f aca="false">IF(R$13=1,DaysEarly*BlockMWp*Yield/365*1000*EnergyValue/100000,0)</f>
        <v>0</v>
      </c>
      <c r="S28" s="51" t="n">
        <f aca="false">IF(S$13=1,DaysEarly*BlockMWp*Yield/365*1000*EnergyValue/100000,0)</f>
        <v>0</v>
      </c>
      <c r="T28" s="51" t="n">
        <f aca="false">IF(T$13=1,DaysEarly*BlockMWp*Yield/365*1000*EnergyValue/100000,0)</f>
        <v>0</v>
      </c>
      <c r="U28" s="51" t="n">
        <f aca="false">IF(U$13=1,DaysEarly*BlockMWp*Yield/365*1000*EnergyValue/100000,0)</f>
        <v>0</v>
      </c>
      <c r="V28" s="51" t="n">
        <f aca="false">IF(V$13=1,DaysEarly*BlockMWp*Yield/365*1000*EnergyValue/100000,0)</f>
        <v>0</v>
      </c>
      <c r="W28" s="51" t="n">
        <f aca="false">IF(W$13=1,DaysEarly*BlockMWp*Yield/365*1000*EnergyValue/100000,0)</f>
        <v>0</v>
      </c>
      <c r="X28" s="51" t="n">
        <f aca="false">IF(X$13=1,DaysEarly*BlockMWp*Yield/365*1000*EnergyValue/100000,0)</f>
        <v>0</v>
      </c>
      <c r="Y28" s="51" t="n">
        <f aca="false">IF(Y$13=1,DaysEarly*BlockMWp*Yield/365*1000*EnergyValue/100000,0)</f>
        <v>0</v>
      </c>
      <c r="Z28" s="51" t="n">
        <f aca="false">IF(Z$13=1,DaysEarly*BlockMWp*Yield/365*1000*EnergyValue/100000,0)</f>
        <v>0</v>
      </c>
      <c r="AA28" s="51" t="n">
        <f aca="false">IF(AA$13=1,DaysEarly*BlockMWp*Yield/365*1000*EnergyValue/100000,0)</f>
        <v>0</v>
      </c>
      <c r="AB28" s="51" t="n">
        <f aca="false">IF(AB$13=1,DaysEarly*BlockMWp*Yield/365*1000*EnergyValue/100000,0)</f>
        <v>0</v>
      </c>
      <c r="AC28" s="53" t="n">
        <f aca="false">SUMPRODUCT(C28:AB28,C$14:AB$14)</f>
        <v>0</v>
      </c>
    </row>
    <row r="29" customFormat="false" ht="15" hidden="false" customHeight="false" outlineLevel="0" collapsed="false">
      <c r="A29" s="12" t="s">
        <v>421</v>
      </c>
      <c r="C29" s="22" t="n">
        <f aca="false">(ParkArea*PlasticHD*PPCredit+MainArea*IF(MainBaseline="PQC",(PQC_Cement-S1_Cement)*CementEF,BT_Binder*BitumenEF+BT_Mix*HotMixEF-S1_Cement*CementEF))/1000</f>
        <v>548.865</v>
      </c>
      <c r="D29" s="22" t="n">
        <f aca="false">IF(AND(MainBaseline&lt;&gt;"PQC",'Road LCC'!D19&gt;0),MainArea*(OV_Binder*BitumenEF+OV_Mix*HotMixEF)/1000,0)</f>
        <v>0</v>
      </c>
      <c r="E29" s="22" t="n">
        <f aca="false">IF(AND(MainBaseline&lt;&gt;"PQC",'Road LCC'!E19&gt;0),MainArea*(OV_Binder*BitumenEF+OV_Mix*HotMixEF)/1000,0)</f>
        <v>0</v>
      </c>
      <c r="F29" s="22" t="n">
        <f aca="false">IF(AND(MainBaseline&lt;&gt;"PQC",'Road LCC'!F19&gt;0),MainArea*(OV_Binder*BitumenEF+OV_Mix*HotMixEF)/1000,0)</f>
        <v>0</v>
      </c>
      <c r="G29" s="22" t="n">
        <f aca="false">IF(AND(MainBaseline&lt;&gt;"PQC",'Road LCC'!G19&gt;0),MainArea*(OV_Binder*BitumenEF+OV_Mix*HotMixEF)/1000,0)</f>
        <v>0</v>
      </c>
      <c r="H29" s="22" t="n">
        <f aca="false">IF(AND(MainBaseline&lt;&gt;"PQC",'Road LCC'!H19&gt;0),MainArea*(OV_Binder*BitumenEF+OV_Mix*HotMixEF)/1000,0)</f>
        <v>88.83</v>
      </c>
      <c r="I29" s="22" t="n">
        <f aca="false">IF(AND(MainBaseline&lt;&gt;"PQC",'Road LCC'!I19&gt;0),MainArea*(OV_Binder*BitumenEF+OV_Mix*HotMixEF)/1000,0)</f>
        <v>0</v>
      </c>
      <c r="J29" s="22" t="n">
        <f aca="false">IF(AND(MainBaseline&lt;&gt;"PQC",'Road LCC'!J19&gt;0),MainArea*(OV_Binder*BitumenEF+OV_Mix*HotMixEF)/1000,0)</f>
        <v>0</v>
      </c>
      <c r="K29" s="22" t="n">
        <f aca="false">IF(AND(MainBaseline&lt;&gt;"PQC",'Road LCC'!K19&gt;0),MainArea*(OV_Binder*BitumenEF+OV_Mix*HotMixEF)/1000,0)</f>
        <v>0</v>
      </c>
      <c r="L29" s="22" t="n">
        <f aca="false">IF(AND(MainBaseline&lt;&gt;"PQC",'Road LCC'!L19&gt;0),MainArea*(OV_Binder*BitumenEF+OV_Mix*HotMixEF)/1000,0)</f>
        <v>0</v>
      </c>
      <c r="M29" s="22" t="n">
        <f aca="false">IF(AND(MainBaseline&lt;&gt;"PQC",'Road LCC'!M19&gt;0),MainArea*(OV_Binder*BitumenEF+OV_Mix*HotMixEF)/1000,0)</f>
        <v>88.83</v>
      </c>
      <c r="N29" s="22" t="n">
        <f aca="false">IF(AND(MainBaseline&lt;&gt;"PQC",'Road LCC'!N19&gt;0),MainArea*(OV_Binder*BitumenEF+OV_Mix*HotMixEF)/1000,0)</f>
        <v>0</v>
      </c>
      <c r="O29" s="22" t="n">
        <f aca="false">IF(AND(MainBaseline&lt;&gt;"PQC",'Road LCC'!O19&gt;0),MainArea*(OV_Binder*BitumenEF+OV_Mix*HotMixEF)/1000,0)</f>
        <v>0</v>
      </c>
      <c r="P29" s="22" t="n">
        <f aca="false">IF(AND(MainBaseline&lt;&gt;"PQC",'Road LCC'!P19&gt;0),MainArea*(OV_Binder*BitumenEF+OV_Mix*HotMixEF)/1000,0)</f>
        <v>0</v>
      </c>
      <c r="Q29" s="22" t="n">
        <f aca="false">IF(AND(MainBaseline&lt;&gt;"PQC",'Road LCC'!Q19&gt;0),MainArea*(OV_Binder*BitumenEF+OV_Mix*HotMixEF)/1000,0)</f>
        <v>0</v>
      </c>
      <c r="R29" s="22" t="n">
        <f aca="false">IF(AND(MainBaseline&lt;&gt;"PQC",'Road LCC'!R19&gt;0),MainArea*(OV_Binder*BitumenEF+OV_Mix*HotMixEF)/1000,0)</f>
        <v>88.83</v>
      </c>
      <c r="S29" s="22" t="n">
        <f aca="false">IF(AND(MainBaseline&lt;&gt;"PQC",'Road LCC'!S19&gt;0),MainArea*(OV_Binder*BitumenEF+OV_Mix*HotMixEF)/1000,0)</f>
        <v>0</v>
      </c>
      <c r="T29" s="22" t="n">
        <f aca="false">IF(AND(MainBaseline&lt;&gt;"PQC",'Road LCC'!T19&gt;0),MainArea*(OV_Binder*BitumenEF+OV_Mix*HotMixEF)/1000,0)</f>
        <v>0</v>
      </c>
      <c r="U29" s="22" t="n">
        <f aca="false">IF(AND(MainBaseline&lt;&gt;"PQC",'Road LCC'!U19&gt;0),MainArea*(OV_Binder*BitumenEF+OV_Mix*HotMixEF)/1000,0)</f>
        <v>0</v>
      </c>
      <c r="V29" s="22" t="n">
        <f aca="false">IF(AND(MainBaseline&lt;&gt;"PQC",'Road LCC'!V19&gt;0),MainArea*(OV_Binder*BitumenEF+OV_Mix*HotMixEF)/1000,0)</f>
        <v>0</v>
      </c>
      <c r="W29" s="22" t="n">
        <f aca="false">IF(AND(MainBaseline&lt;&gt;"PQC",'Road LCC'!W19&gt;0),MainArea*(OV_Binder*BitumenEF+OV_Mix*HotMixEF)/1000,0)</f>
        <v>88.83</v>
      </c>
      <c r="X29" s="22" t="n">
        <f aca="false">IF(AND(MainBaseline&lt;&gt;"PQC",'Road LCC'!X19&gt;0),MainArea*(OV_Binder*BitumenEF+OV_Mix*HotMixEF)/1000,0)</f>
        <v>0</v>
      </c>
      <c r="Y29" s="22" t="n">
        <f aca="false">IF(AND(MainBaseline&lt;&gt;"PQC",'Road LCC'!Y19&gt;0),MainArea*(OV_Binder*BitumenEF+OV_Mix*HotMixEF)/1000,0)</f>
        <v>0</v>
      </c>
      <c r="Z29" s="22" t="n">
        <f aca="false">IF(AND(MainBaseline&lt;&gt;"PQC",'Road LCC'!Z19&gt;0),MainArea*(OV_Binder*BitumenEF+OV_Mix*HotMixEF)/1000,0)</f>
        <v>0</v>
      </c>
      <c r="AA29" s="22" t="n">
        <f aca="false">IF(AND(MainBaseline&lt;&gt;"PQC",'Road LCC'!AA19&gt;0),MainArea*(OV_Binder*BitumenEF+OV_Mix*HotMixEF)/1000,0)</f>
        <v>0</v>
      </c>
      <c r="AB29" s="22" t="n">
        <f aca="false">IF(AND(MainBaseline&lt;&gt;"PQC",'Road LCC'!AB19&gt;0),MainArea*(OV_Binder*BitumenEF+OV_Mix*HotMixEF)/1000,0)</f>
        <v>0</v>
      </c>
      <c r="AC29" s="36" t="n">
        <f aca="false">SUM(C29:AB29)</f>
        <v>904.185</v>
      </c>
    </row>
    <row r="30" customFormat="false" ht="15" hidden="false" customHeight="false" outlineLevel="0" collapsed="false">
      <c r="A30" s="12" t="s">
        <v>422</v>
      </c>
      <c r="C30" s="22" t="n">
        <v>0</v>
      </c>
      <c r="D30" s="22" t="n">
        <f aca="false">D25*GridEF</f>
        <v>418.2255</v>
      </c>
      <c r="E30" s="22" t="n">
        <f aca="false">E25*GridEF</f>
        <v>416.552598</v>
      </c>
      <c r="F30" s="22" t="n">
        <f aca="false">F25*GridEF</f>
        <v>414.886387608</v>
      </c>
      <c r="G30" s="22" t="n">
        <f aca="false">G25*GridEF</f>
        <v>413.226842057568</v>
      </c>
      <c r="H30" s="22" t="n">
        <f aca="false">H25*GridEF</f>
        <v>411.573934689338</v>
      </c>
      <c r="I30" s="22" t="n">
        <f aca="false">I25*GridEF</f>
        <v>409.92763895058</v>
      </c>
      <c r="J30" s="22" t="n">
        <f aca="false">J25*GridEF</f>
        <v>408.287928394778</v>
      </c>
      <c r="K30" s="22" t="n">
        <f aca="false">K25*GridEF</f>
        <v>406.654776681199</v>
      </c>
      <c r="L30" s="22" t="n">
        <f aca="false">L25*GridEF</f>
        <v>405.028157574474</v>
      </c>
      <c r="M30" s="22" t="n">
        <f aca="false">M25*GridEF</f>
        <v>403.408044944176</v>
      </c>
      <c r="N30" s="22" t="n">
        <f aca="false">N25*GridEF</f>
        <v>401.794412764399</v>
      </c>
      <c r="O30" s="22" t="n">
        <f aca="false">O25*GridEF</f>
        <v>400.187235113342</v>
      </c>
      <c r="P30" s="22" t="n">
        <f aca="false">P25*GridEF</f>
        <v>398.586486172889</v>
      </c>
      <c r="Q30" s="22" t="n">
        <f aca="false">Q25*GridEF</f>
        <v>396.992140228197</v>
      </c>
      <c r="R30" s="22" t="n">
        <f aca="false">R25*GridEF</f>
        <v>395.404171667284</v>
      </c>
      <c r="S30" s="22" t="n">
        <f aca="false">S25*GridEF</f>
        <v>393.822554980615</v>
      </c>
      <c r="T30" s="22" t="n">
        <f aca="false">T25*GridEF</f>
        <v>392.247264760693</v>
      </c>
      <c r="U30" s="22" t="n">
        <f aca="false">U25*GridEF</f>
        <v>390.67827570165</v>
      </c>
      <c r="V30" s="22" t="n">
        <f aca="false">V25*GridEF</f>
        <v>389.115562598843</v>
      </c>
      <c r="W30" s="22" t="n">
        <f aca="false">W25*GridEF</f>
        <v>387.559100348448</v>
      </c>
      <c r="X30" s="22" t="n">
        <f aca="false">X25*GridEF</f>
        <v>386.008863947054</v>
      </c>
      <c r="Y30" s="22" t="n">
        <f aca="false">Y25*GridEF</f>
        <v>384.464828491266</v>
      </c>
      <c r="Z30" s="22" t="n">
        <f aca="false">Z25*GridEF</f>
        <v>382.926969177301</v>
      </c>
      <c r="AA30" s="22" t="n">
        <f aca="false">AA25*GridEF</f>
        <v>381.395261300592</v>
      </c>
      <c r="AB30" s="22" t="n">
        <f aca="false">AB25*GridEF</f>
        <v>379.869680255389</v>
      </c>
      <c r="AC30" s="36" t="n">
        <f aca="false">SUM(C30:AB30)</f>
        <v>9968.82461640807</v>
      </c>
    </row>
    <row r="31" customFormat="false" ht="15" hidden="false" customHeight="false" outlineLevel="0" collapsed="false">
      <c r="A31" s="12" t="s">
        <v>423</v>
      </c>
      <c r="C31" s="51" t="n">
        <f aca="false">C29*CarbonPrice*C17/100000</f>
        <v>3.842055</v>
      </c>
      <c r="D31" s="51" t="n">
        <f aca="false">D29*CarbonPrice*D17/100000</f>
        <v>0</v>
      </c>
      <c r="E31" s="51" t="n">
        <f aca="false">E29*CarbonPrice*E17/100000</f>
        <v>0</v>
      </c>
      <c r="F31" s="51" t="n">
        <f aca="false">F29*CarbonPrice*F17/100000</f>
        <v>0</v>
      </c>
      <c r="G31" s="51" t="n">
        <f aca="false">G29*CarbonPrice*G17/100000</f>
        <v>0</v>
      </c>
      <c r="H31" s="51" t="n">
        <f aca="false">H29*CarbonPrice*H17/100000</f>
        <v>0.793604638378125</v>
      </c>
      <c r="I31" s="51" t="n">
        <f aca="false">I29*CarbonPrice*I17/100000</f>
        <v>0</v>
      </c>
      <c r="J31" s="51" t="n">
        <f aca="false">J29*CarbonPrice*J17/100000</f>
        <v>0</v>
      </c>
      <c r="K31" s="51" t="n">
        <f aca="false">K29*CarbonPrice*K17/100000</f>
        <v>0</v>
      </c>
      <c r="L31" s="51" t="n">
        <f aca="false">L29*CarbonPrice*L17/100000</f>
        <v>0</v>
      </c>
      <c r="M31" s="51" t="n">
        <f aca="false">M29*CarbonPrice*M17/100000</f>
        <v>1.01286296787648</v>
      </c>
      <c r="N31" s="51" t="n">
        <f aca="false">N29*CarbonPrice*N17/100000</f>
        <v>0</v>
      </c>
      <c r="O31" s="51" t="n">
        <f aca="false">O29*CarbonPrice*O17/100000</f>
        <v>0</v>
      </c>
      <c r="P31" s="51" t="n">
        <f aca="false">P29*CarbonPrice*P17/100000</f>
        <v>0</v>
      </c>
      <c r="Q31" s="51" t="n">
        <f aca="false">Q29*CarbonPrice*Q17/100000</f>
        <v>0</v>
      </c>
      <c r="R31" s="51" t="n">
        <f aca="false">R29*CarbonPrice*R17/100000</f>
        <v>1.29269833123978</v>
      </c>
      <c r="S31" s="51" t="n">
        <f aca="false">S29*CarbonPrice*S17/100000</f>
        <v>0</v>
      </c>
      <c r="T31" s="51" t="n">
        <f aca="false">T29*CarbonPrice*T17/100000</f>
        <v>0</v>
      </c>
      <c r="U31" s="51" t="n">
        <f aca="false">U29*CarbonPrice*U17/100000</f>
        <v>0</v>
      </c>
      <c r="V31" s="51" t="n">
        <f aca="false">V29*CarbonPrice*V17/100000</f>
        <v>0</v>
      </c>
      <c r="W31" s="51" t="n">
        <f aca="false">W29*CarbonPrice*W17/100000</f>
        <v>1.64984704603585</v>
      </c>
      <c r="X31" s="51" t="n">
        <f aca="false">X29*CarbonPrice*X17/100000</f>
        <v>0</v>
      </c>
      <c r="Y31" s="51" t="n">
        <f aca="false">Y29*CarbonPrice*Y17/100000</f>
        <v>0</v>
      </c>
      <c r="Z31" s="51" t="n">
        <f aca="false">Z29*CarbonPrice*Z17/100000</f>
        <v>0</v>
      </c>
      <c r="AA31" s="51" t="n">
        <f aca="false">AA29*CarbonPrice*AA17/100000</f>
        <v>0</v>
      </c>
      <c r="AB31" s="51" t="n">
        <f aca="false">AB29*CarbonPrice*AB17/100000</f>
        <v>0</v>
      </c>
      <c r="AC31" s="53" t="n">
        <f aca="false">SUMPRODUCT(C31:AB31,C$14:AB$14)</f>
        <v>5.28002451576336</v>
      </c>
    </row>
    <row r="32" customFormat="false" ht="15" hidden="false" customHeight="false" outlineLevel="0" collapsed="false">
      <c r="A32" s="12" t="s">
        <v>424</v>
      </c>
      <c r="C32" s="51" t="n">
        <v>0</v>
      </c>
      <c r="D32" s="51" t="n">
        <f aca="false">D30*CarbonPrice*D17/100000</f>
        <v>3.073957425</v>
      </c>
      <c r="E32" s="51" t="n">
        <f aca="false">E30*CarbonPrice*E17/100000</f>
        <v>3.214744675065</v>
      </c>
      <c r="F32" s="51" t="n">
        <f aca="false">F30*CarbonPrice*F17/100000</f>
        <v>3.36197998118298</v>
      </c>
      <c r="G32" s="51" t="n">
        <f aca="false">G30*CarbonPrice*G17/100000</f>
        <v>3.51595866432116</v>
      </c>
      <c r="H32" s="51" t="n">
        <f aca="false">H30*CarbonPrice*H17/100000</f>
        <v>3.67698957114707</v>
      </c>
      <c r="I32" s="51" t="n">
        <f aca="false">I30*CarbonPrice*I17/100000</f>
        <v>3.8453956935056</v>
      </c>
      <c r="J32" s="51" t="n">
        <f aca="false">J30*CarbonPrice*J17/100000</f>
        <v>4.02151481626816</v>
      </c>
      <c r="K32" s="51" t="n">
        <f aca="false">K30*CarbonPrice*K17/100000</f>
        <v>4.20570019485324</v>
      </c>
      <c r="L32" s="51" t="n">
        <f aca="false">L30*CarbonPrice*L17/100000</f>
        <v>4.39832126377752</v>
      </c>
      <c r="M32" s="51" t="n">
        <f aca="false">M30*CarbonPrice*M17/100000</f>
        <v>4.59976437765853</v>
      </c>
      <c r="N32" s="51" t="n">
        <f aca="false">N30*CarbonPrice*N17/100000</f>
        <v>4.81043358615529</v>
      </c>
      <c r="O32" s="51" t="n">
        <f aca="false">O30*CarbonPrice*O17/100000</f>
        <v>5.0307514444012</v>
      </c>
      <c r="P32" s="51" t="n">
        <f aca="false">P30*CarbonPrice*P17/100000</f>
        <v>5.26115986055478</v>
      </c>
      <c r="Q32" s="51" t="n">
        <f aca="false">Q30*CarbonPrice*Q17/100000</f>
        <v>5.50212098216819</v>
      </c>
      <c r="R32" s="51" t="n">
        <f aca="false">R30*CarbonPrice*R17/100000</f>
        <v>5.75411812315149</v>
      </c>
      <c r="S32" s="51" t="n">
        <f aca="false">S30*CarbonPrice*S17/100000</f>
        <v>6.01765673319183</v>
      </c>
      <c r="T32" s="51" t="n">
        <f aca="false">T30*CarbonPrice*T17/100000</f>
        <v>6.29326541157202</v>
      </c>
      <c r="U32" s="51" t="n">
        <f aca="false">U30*CarbonPrice*U17/100000</f>
        <v>6.58149696742202</v>
      </c>
      <c r="V32" s="51" t="n">
        <f aca="false">V30*CarbonPrice*V17/100000</f>
        <v>6.88292952852994</v>
      </c>
      <c r="W32" s="51" t="n">
        <f aca="false">W30*CarbonPrice*W17/100000</f>
        <v>7.19816770093662</v>
      </c>
      <c r="X32" s="51" t="n">
        <f aca="false">X30*CarbonPrice*X17/100000</f>
        <v>7.52784378163951</v>
      </c>
      <c r="Y32" s="51" t="n">
        <f aca="false">Y30*CarbonPrice*Y17/100000</f>
        <v>7.8726190268386</v>
      </c>
      <c r="Z32" s="51" t="n">
        <f aca="false">Z30*CarbonPrice*Z17/100000</f>
        <v>8.23318497826781</v>
      </c>
      <c r="AA32" s="51" t="n">
        <f aca="false">AA30*CarbonPrice*AA17/100000</f>
        <v>8.61026485027248</v>
      </c>
      <c r="AB32" s="51" t="n">
        <f aca="false">AB30*CarbonPrice*AB17/100000</f>
        <v>9.00461498041496</v>
      </c>
      <c r="AC32" s="53" t="n">
        <f aca="false">SUMPRODUCT(C32:AB32,C$14:AB$14)</f>
        <v>40.6790328134393</v>
      </c>
    </row>
    <row r="34" customFormat="false" ht="15" hidden="false" customHeight="false" outlineLevel="0" collapsed="false">
      <c r="A34" s="4" t="s">
        <v>425</v>
      </c>
      <c r="C34" s="53" t="n">
        <f aca="false">C23+C26+C27+C28+C31+C32</f>
        <v>-342.086445</v>
      </c>
      <c r="D34" s="53" t="n">
        <f aca="false">D23+D26+D27+D28+D31+D32</f>
        <v>48.6543078</v>
      </c>
      <c r="E34" s="53" t="n">
        <f aca="false">E23+E26+E27+E28+E31+E32</f>
        <v>50.215277668815</v>
      </c>
      <c r="F34" s="53" t="n">
        <f aca="false">F23+F26+F27+F28+F31+F32</f>
        <v>19.9501010017205</v>
      </c>
      <c r="G34" s="53" t="n">
        <f aca="false">G23+G26+G27+G28+G31+G32</f>
        <v>129.203581367477</v>
      </c>
      <c r="H34" s="53" t="n">
        <f aca="false">H23+H26+H27+H28+H31+H32</f>
        <v>138.465661513154</v>
      </c>
      <c r="I34" s="53" t="n">
        <f aca="false">I23+I26+I27+I28+I31+I32</f>
        <v>20.3727392636919</v>
      </c>
      <c r="J34" s="53" t="n">
        <f aca="false">J23+J26+J27+J28+J31+J32</f>
        <v>36.0467126577209</v>
      </c>
      <c r="K34" s="53" t="n">
        <f aca="false">K23+K26+K27+K28+K31+K32</f>
        <v>153.343346240007</v>
      </c>
      <c r="L34" s="53" t="n">
        <f aca="false">L23+L26+L27+L28+L31+L32</f>
        <v>20.887284846505</v>
      </c>
      <c r="M34" s="53" t="n">
        <f aca="false">M23+M26+M27+M28+M31+M32</f>
        <v>128.01317833509</v>
      </c>
      <c r="N34" s="53" t="n">
        <f aca="false">N23+N26+N27+N28+N31+N32</f>
        <v>40.144279843909</v>
      </c>
      <c r="O34" s="53" t="n">
        <f aca="false">O23+O26+O27+O28+O31+O32</f>
        <v>162.930566379665</v>
      </c>
      <c r="P34" s="53" t="n">
        <f aca="false">P23+P26+P27+P28+P31+P32</f>
        <v>42.5285844367758</v>
      </c>
      <c r="Q34" s="53" t="n">
        <f aca="false">Q23+Q26+Q27+Q28+Q31+Q32</f>
        <v>43.8144110170029</v>
      </c>
      <c r="R34" s="53" t="n">
        <f aca="false">R23+R26+R27+R28+R31+R32</f>
        <v>191.932488598162</v>
      </c>
      <c r="S34" s="53" t="n">
        <f aca="false">S23+S26+S27+S28+S31+S32</f>
        <v>218.490366177074</v>
      </c>
      <c r="T34" s="53" t="n">
        <f aca="false">T23+T26+T27+T28+T31+T32</f>
        <v>48.0844448639697</v>
      </c>
      <c r="U34" s="53" t="n">
        <f aca="false">U23+U26+U27+U28+U31+U32</f>
        <v>23.1237702958953</v>
      </c>
      <c r="V34" s="53" t="n">
        <f aca="false">V23+V26+V27+V28+V31+V32</f>
        <v>51.3096763345236</v>
      </c>
      <c r="W34" s="53" t="n">
        <f aca="false">W23+W26+W27+W28+W31+W32</f>
        <v>406.92231222264</v>
      </c>
      <c r="X34" s="53" t="n">
        <f aca="false">X23+X26+X27+X28+X31+X32</f>
        <v>24.1582238956601</v>
      </c>
      <c r="Y34" s="53" t="n">
        <f aca="false">Y23+Y26+Y27+Y28+Y31+Y32</f>
        <v>56.7928402264651</v>
      </c>
      <c r="Z34" s="53" t="n">
        <f aca="false">Z23+Z26+Z27+Z28+Z31+Z32</f>
        <v>58.8099105900724</v>
      </c>
      <c r="AA34" s="53" t="n">
        <f aca="false">AA23+AA26+AA27+AA28+AA31+AA32</f>
        <v>279.349371809466</v>
      </c>
      <c r="AB34" s="53" t="n">
        <f aca="false">AB23+AB26+AB27+AB28+AB31+AB32</f>
        <v>63.1565856884298</v>
      </c>
      <c r="AC34" s="53" t="n">
        <f aca="false">SUMPRODUCT(C34:AB34,C$14:AB$14)</f>
        <v>409.490283880634</v>
      </c>
    </row>
    <row r="35" customFormat="false" ht="15" hidden="false" customHeight="false" outlineLevel="0" collapsed="false">
      <c r="A35" s="12" t="s">
        <v>426</v>
      </c>
      <c r="C35" s="51" t="n">
        <f aca="false">C34</f>
        <v>-342.086445</v>
      </c>
      <c r="D35" s="51" t="n">
        <f aca="false">C35+D34</f>
        <v>-293.4321372</v>
      </c>
      <c r="E35" s="51" t="n">
        <f aca="false">D35+E34</f>
        <v>-243.216859531185</v>
      </c>
      <c r="F35" s="51" t="n">
        <f aca="false">E35+F34</f>
        <v>-223.266758529464</v>
      </c>
      <c r="G35" s="51" t="n">
        <f aca="false">F35+G34</f>
        <v>-94.0631771619873</v>
      </c>
      <c r="H35" s="51" t="n">
        <f aca="false">G35+H34</f>
        <v>44.402484351167</v>
      </c>
      <c r="I35" s="51" t="n">
        <f aca="false">H35+I34</f>
        <v>64.7752236148589</v>
      </c>
      <c r="J35" s="51" t="n">
        <f aca="false">I35+J34</f>
        <v>100.82193627258</v>
      </c>
      <c r="K35" s="51" t="n">
        <f aca="false">J35+K34</f>
        <v>254.165282512587</v>
      </c>
      <c r="L35" s="51" t="n">
        <f aca="false">K35+L34</f>
        <v>275.052567359092</v>
      </c>
      <c r="M35" s="51" t="n">
        <f aca="false">L35+M34</f>
        <v>403.065745694182</v>
      </c>
      <c r="N35" s="51" t="n">
        <f aca="false">M35+N34</f>
        <v>443.210025538091</v>
      </c>
      <c r="O35" s="51" t="n">
        <f aca="false">N35+O34</f>
        <v>606.140591917756</v>
      </c>
      <c r="P35" s="51" t="n">
        <f aca="false">O35+P34</f>
        <v>648.669176354532</v>
      </c>
      <c r="Q35" s="51" t="n">
        <f aca="false">P35+Q34</f>
        <v>692.483587371535</v>
      </c>
      <c r="R35" s="51" t="n">
        <f aca="false">Q35+R34</f>
        <v>884.416075969697</v>
      </c>
      <c r="S35" s="51" t="n">
        <f aca="false">R35+S34</f>
        <v>1102.90644214677</v>
      </c>
      <c r="T35" s="51" t="n">
        <f aca="false">S35+T34</f>
        <v>1150.99088701074</v>
      </c>
      <c r="U35" s="51" t="n">
        <f aca="false">T35+U34</f>
        <v>1174.11465730664</v>
      </c>
      <c r="V35" s="51" t="n">
        <f aca="false">U35+V34</f>
        <v>1225.42433364116</v>
      </c>
      <c r="W35" s="51" t="n">
        <f aca="false">V35+W34</f>
        <v>1632.3466458638</v>
      </c>
      <c r="X35" s="51" t="n">
        <f aca="false">W35+X34</f>
        <v>1656.50486975946</v>
      </c>
      <c r="Y35" s="51" t="n">
        <f aca="false">X35+Y34</f>
        <v>1713.29770998592</v>
      </c>
      <c r="Z35" s="51" t="n">
        <f aca="false">Y35+Z34</f>
        <v>1772.107620576</v>
      </c>
      <c r="AA35" s="51" t="n">
        <f aca="false">Z35+AA34</f>
        <v>2051.45699238546</v>
      </c>
      <c r="AB35" s="51" t="n">
        <f aca="false">AA35+AB34</f>
        <v>2114.61357807389</v>
      </c>
    </row>
    <row r="37" customFormat="false" ht="18" hidden="false" customHeight="true" outlineLevel="0" collapsed="false">
      <c r="A37" s="6" t="s">
        <v>427</v>
      </c>
      <c r="B37" s="7"/>
      <c r="C37" s="7"/>
      <c r="D37" s="7"/>
    </row>
    <row r="38" customFormat="false" ht="15" hidden="false" customHeight="false" outlineLevel="0" collapsed="false">
      <c r="A38" s="4" t="s">
        <v>428</v>
      </c>
      <c r="B38" s="54" t="n">
        <f aca="false">AC34/100</f>
        <v>4.09490283880634</v>
      </c>
    </row>
    <row r="39" customFormat="false" ht="15" hidden="false" customHeight="false" outlineLevel="0" collapsed="false">
      <c r="A39" s="12" t="s">
        <v>429</v>
      </c>
      <c r="B39" s="55" t="n">
        <f aca="false">AC34/BlockMWp</f>
        <v>4.09490283880634</v>
      </c>
    </row>
    <row r="40" customFormat="false" ht="15" hidden="false" customHeight="false" outlineLevel="0" collapsed="false">
      <c r="A40" s="12" t="s">
        <v>12</v>
      </c>
      <c r="B40" s="56" t="n">
        <f aca="false">-C23/100</f>
        <v>3.459285</v>
      </c>
    </row>
    <row r="41" customFormat="false" ht="15" hidden="false" customHeight="false" outlineLevel="0" collapsed="false">
      <c r="A41" s="12" t="s">
        <v>13</v>
      </c>
      <c r="B41" s="50" t="n">
        <f aca="false">Park_Premium/(BlockMWp*SolarCapex)</f>
        <v>0.0086482125</v>
      </c>
    </row>
    <row r="42" customFormat="false" ht="15" hidden="false" customHeight="false" outlineLevel="0" collapsed="false">
      <c r="A42" s="4" t="s">
        <v>14</v>
      </c>
      <c r="B42" s="35" t="n">
        <f aca="false">IFERROR(IRR(C34:AB34),"no premium")</f>
        <v>0.208615073086779</v>
      </c>
    </row>
    <row r="43" customFormat="false" ht="15" hidden="false" customHeight="false" outlineLevel="0" collapsed="false">
      <c r="A43" s="4" t="s">
        <v>15</v>
      </c>
      <c r="B43" s="57" t="n">
        <f aca="false">IF(C35&gt;=0,0,IF(COUNTIF(D35:AB35,"&lt;0")&gt;=25,"&gt; 25",COUNTIF(D35:AB35,"&lt;0")+(-INDEX(C35:AB35,COUNTIF(D35:AB35,"&lt;0")+1))/INDEX(C34:AB34,COUNTIF(D35:AB35,"&lt;0")+2)))</f>
        <v>4.6793249397292</v>
      </c>
    </row>
    <row r="44" customFormat="false" ht="15" hidden="false" customHeight="false" outlineLevel="0" collapsed="false">
      <c r="A44" s="12" t="s">
        <v>430</v>
      </c>
      <c r="B44" s="56" t="n">
        <f aca="false">(AC23-C23)/100</f>
        <v>5.69302049910044</v>
      </c>
    </row>
    <row r="45" customFormat="false" ht="15" hidden="false" customHeight="false" outlineLevel="0" collapsed="false">
      <c r="A45" s="12" t="s">
        <v>431</v>
      </c>
      <c r="B45" s="56" t="n">
        <f aca="false">AC26/100</f>
        <v>1.40157676641388</v>
      </c>
    </row>
    <row r="46" customFormat="false" ht="15" hidden="false" customHeight="false" outlineLevel="0" collapsed="false">
      <c r="A46" s="12" t="s">
        <v>432</v>
      </c>
      <c r="B46" s="56" t="n">
        <f aca="false">AC27/100</f>
        <v>0</v>
      </c>
    </row>
    <row r="47" customFormat="false" ht="15" hidden="false" customHeight="false" outlineLevel="0" collapsed="false">
      <c r="A47" s="12" t="s">
        <v>433</v>
      </c>
      <c r="B47" s="56" t="n">
        <f aca="false">AC28/100</f>
        <v>0</v>
      </c>
    </row>
    <row r="48" customFormat="false" ht="15" hidden="false" customHeight="false" outlineLevel="0" collapsed="false">
      <c r="A48" s="12" t="s">
        <v>434</v>
      </c>
      <c r="B48" s="56" t="n">
        <f aca="false">(AC31+AC32)/100</f>
        <v>0.459590573292027</v>
      </c>
    </row>
    <row r="49" customFormat="false" ht="15" hidden="false" customHeight="false" outlineLevel="0" collapsed="false">
      <c r="A49" s="12" t="s">
        <v>435</v>
      </c>
      <c r="B49" s="49" t="n">
        <f aca="false">IFERROR((PV_Upkeep+PV_Energy+PV_Clean+PV_Early+PV_Carbon)/Park_Premium,"n/a")</f>
        <v>2.18374254760922</v>
      </c>
    </row>
    <row r="50" customFormat="false" ht="15" hidden="false" customHeight="false" outlineLevel="0" collapsed="false">
      <c r="A50" s="12" t="s">
        <v>436</v>
      </c>
      <c r="B50" s="56" t="n">
        <f aca="false">(NPV(0.08,D34:AB34)+C34)/100</f>
        <v>5.70787192590868</v>
      </c>
    </row>
    <row r="51" customFormat="false" ht="15" hidden="false" customHeight="false" outlineLevel="0" collapsed="false">
      <c r="A51" s="12" t="s">
        <v>437</v>
      </c>
      <c r="B51" s="56" t="n">
        <f aca="false">(NPV(0.12,D34:AB34)+C34)/100</f>
        <v>2.87894149522511</v>
      </c>
    </row>
    <row r="52" customFormat="false" ht="15" hidden="false" customHeight="false" outlineLevel="0" collapsed="false">
      <c r="A52" s="12" t="s">
        <v>438</v>
      </c>
      <c r="B52" s="22" t="n">
        <f aca="false">AC25</f>
        <v>14040.598051279</v>
      </c>
    </row>
    <row r="53" customFormat="false" ht="15" hidden="false" customHeight="false" outlineLevel="0" collapsed="false">
      <c r="A53" s="12" t="s">
        <v>38</v>
      </c>
      <c r="B53" s="22" t="n">
        <f aca="false">AC29+AC30</f>
        <v>10873.0096164081</v>
      </c>
    </row>
    <row r="54" customFormat="false" ht="15" hidden="false" customHeight="false" outlineLevel="0" collapsed="false">
      <c r="A54" s="12" t="s">
        <v>439</v>
      </c>
      <c r="B54" s="51" t="n">
        <f aca="false">ParkArea*PlasticHD/1000</f>
        <v>326.7</v>
      </c>
    </row>
    <row r="55" customFormat="false" ht="15" hidden="false" customHeight="false" outlineLevel="0" collapsed="false">
      <c r="A55" s="12" t="s">
        <v>440</v>
      </c>
      <c r="B55" s="56" t="n">
        <f aca="false">(SUM(D23:AB23))/100</f>
        <v>19.3435990808753</v>
      </c>
    </row>
    <row r="57" customFormat="false" ht="18" hidden="false" customHeight="true" outlineLevel="0" collapsed="false">
      <c r="A57" s="6" t="s">
        <v>441</v>
      </c>
      <c r="B57" s="7"/>
      <c r="C57" s="7"/>
      <c r="D57" s="7"/>
    </row>
    <row r="58" customFormat="false" ht="15" hidden="false" customHeight="false" outlineLevel="0" collapsed="false">
      <c r="A58" s="12" t="s">
        <v>442</v>
      </c>
      <c r="B58" s="58" t="n">
        <f aca="false">AC23/100</f>
        <v>2.23373549910044</v>
      </c>
    </row>
    <row r="59" customFormat="false" ht="15" hidden="false" customHeight="false" outlineLevel="0" collapsed="false">
      <c r="A59" s="12" t="s">
        <v>443</v>
      </c>
      <c r="B59" s="58" t="n">
        <f aca="false">BlockMWp*Yield*SoilingLoss*DustCutS2*1000*SUMPRODUCT(D16:AB16,D14:AB14)/10000000</f>
        <v>3.46068337386143</v>
      </c>
    </row>
    <row r="60" customFormat="false" ht="15" hidden="false" customHeight="false" outlineLevel="0" collapsed="false">
      <c r="A60" s="12" t="s">
        <v>444</v>
      </c>
      <c r="B60" s="58" t="n">
        <f aca="false">BlockMWp*CleanCost*SUMPRODUCT(D15:AB15,D14:AB14)/100</f>
        <v>21.6547692022575</v>
      </c>
    </row>
    <row r="61" customFormat="false" ht="15" hidden="false" customHeight="false" outlineLevel="0" collapsed="false">
      <c r="A61" s="12" t="s">
        <v>445</v>
      </c>
      <c r="B61" s="58" t="n">
        <f aca="false">BlockMWp*Yield/365*1000*D14/10000000</f>
        <v>0.0465753424657534</v>
      </c>
    </row>
    <row r="62" customFormat="false" ht="15" hidden="false" customHeight="false" outlineLevel="0" collapsed="false">
      <c r="A62" s="12" t="s">
        <v>446</v>
      </c>
      <c r="B62" s="58" t="n">
        <f aca="false">SUMPRODUCT(C29:AB29,C17:AB17,C14:AB14)/10000000</f>
        <v>7.54289216537623E-005</v>
      </c>
    </row>
    <row r="63" customFormat="false" ht="15" hidden="false" customHeight="false" outlineLevel="0" collapsed="false">
      <c r="A63" s="12" t="s">
        <v>447</v>
      </c>
      <c r="B63" s="58" t="n">
        <f aca="false">BlockMWp*Yield*SoilingLoss*DustCutS2*GridEF*SUMPRODUCT(D16:AB16,D17:AB17,D14:AB14)/10000000</f>
        <v>0.00387419360127994</v>
      </c>
    </row>
    <row r="64" customFormat="false" ht="15" hidden="false" customHeight="false" outlineLevel="0" collapsed="false">
      <c r="A64" s="12" t="s">
        <v>448</v>
      </c>
      <c r="B64" s="58" t="n">
        <f aca="false">SUMPRODUCT(D15:AB15,D14:AB14)</f>
        <v>14.436512801505</v>
      </c>
    </row>
    <row r="65" customFormat="false" ht="15" hidden="false" customHeight="false" outlineLevel="0" collapsed="false">
      <c r="A65" s="12" t="s">
        <v>449</v>
      </c>
      <c r="B65" s="58" t="n">
        <f aca="false">U_Road+U_Energy*DustShare*EnergyValue+U_Clean*CleanSave+U_Early*DaysEarly*EnergyValue+U_CarbMat*CarbonPrice+U_CarbEn*DustShare*CarbonPrice-Park_NPV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AC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28" min="3" style="0" width="9"/>
    <col collapsed="false" customWidth="true" hidden="false" outlineLevel="0" max="29" min="29" style="0" width="12"/>
  </cols>
  <sheetData>
    <row r="1" customFormat="false" ht="25.5" hidden="false" customHeight="true" outlineLevel="0" collapsed="false">
      <c r="A1" s="19" t="s">
        <v>450</v>
      </c>
    </row>
    <row r="2" customFormat="false" ht="15" hidden="false" customHeight="false" outlineLevel="0" collapsed="false">
      <c r="A2" s="20" t="s">
        <v>451</v>
      </c>
    </row>
    <row r="4" customFormat="false" ht="18" hidden="false" customHeight="true" outlineLevel="0" collapsed="false">
      <c r="A4" s="6" t="s">
        <v>452</v>
      </c>
      <c r="B4" s="7"/>
      <c r="C4" s="7"/>
      <c r="D4" s="7"/>
    </row>
    <row r="5" customFormat="false" ht="15" hidden="false" customHeight="false" outlineLevel="0" collapsed="false">
      <c r="A5" s="12" t="s">
        <v>453</v>
      </c>
      <c r="B5" s="52" t="str">
        <f aca="false">Site</f>
        <v>Navi Mumbai</v>
      </c>
    </row>
    <row r="6" customFormat="false" ht="15" hidden="false" customHeight="false" outlineLevel="0" collapsed="false">
      <c r="A6" s="12" t="s">
        <v>454</v>
      </c>
      <c r="B6" s="48" t="n">
        <f aca="false">PowerDens/1000</f>
        <v>0.16</v>
      </c>
    </row>
    <row r="7" customFormat="false" ht="15" hidden="false" customHeight="false" outlineLevel="0" collapsed="false">
      <c r="A7" s="12" t="s">
        <v>455</v>
      </c>
      <c r="B7" s="22" t="n">
        <f aca="false">IF(Site="Navi Mumbai",WkYieldMum,WkYieldJam)*WkYieldMult</f>
        <v>1150</v>
      </c>
    </row>
    <row r="8" customFormat="false" ht="15" hidden="false" customHeight="false" outlineLevel="0" collapsed="false">
      <c r="A8" s="12" t="s">
        <v>456</v>
      </c>
      <c r="B8" s="59" t="n">
        <f aca="false">IF(Site="Navi Mumbai",TariffMum,TariffJam)</f>
        <v>12</v>
      </c>
    </row>
    <row r="9" customFormat="false" ht="15" hidden="false" customHeight="false" outlineLevel="0" collapsed="false">
      <c r="A9" s="12" t="s">
        <v>457</v>
      </c>
      <c r="B9" s="42" t="n">
        <f aca="false">WkTotal</f>
        <v>12578</v>
      </c>
    </row>
    <row r="10" customFormat="false" ht="15" hidden="false" customHeight="false" outlineLevel="0" collapsed="false">
      <c r="A10" s="12" t="s">
        <v>458</v>
      </c>
      <c r="B10" s="43" t="n">
        <f aca="false">-Paver_Capex</f>
        <v>-1100</v>
      </c>
    </row>
    <row r="11" customFormat="false" ht="15" hidden="false" customHeight="false" outlineLevel="0" collapsed="false">
      <c r="A11" s="4" t="s">
        <v>459</v>
      </c>
      <c r="B11" s="26" t="n">
        <f aca="false">WkTotal-Paver_Capex</f>
        <v>11478</v>
      </c>
    </row>
    <row r="12" customFormat="false" ht="15" hidden="false" customHeight="false" outlineLevel="0" collapsed="false">
      <c r="A12" s="12" t="s">
        <v>460</v>
      </c>
      <c r="B12" s="43" t="n">
        <f aca="false">SolarLayer+BOS*WkKWp</f>
        <v>11500</v>
      </c>
    </row>
    <row r="15" customFormat="false" ht="15" hidden="false" customHeight="false" outlineLevel="0" collapsed="false">
      <c r="A15" s="4" t="s">
        <v>361</v>
      </c>
      <c r="C15" s="46" t="n">
        <v>0</v>
      </c>
      <c r="D15" s="46" t="n">
        <v>1</v>
      </c>
      <c r="E15" s="46" t="n">
        <v>2</v>
      </c>
      <c r="F15" s="46" t="n">
        <v>3</v>
      </c>
      <c r="G15" s="46" t="n">
        <v>4</v>
      </c>
      <c r="H15" s="46" t="n">
        <v>5</v>
      </c>
      <c r="I15" s="46" t="n">
        <v>6</v>
      </c>
      <c r="J15" s="46" t="n">
        <v>7</v>
      </c>
      <c r="K15" s="46" t="n">
        <v>8</v>
      </c>
      <c r="L15" s="46" t="n">
        <v>9</v>
      </c>
      <c r="M15" s="46" t="n">
        <v>10</v>
      </c>
      <c r="N15" s="46" t="n">
        <v>11</v>
      </c>
      <c r="O15" s="46" t="n">
        <v>12</v>
      </c>
      <c r="P15" s="46" t="n">
        <v>13</v>
      </c>
      <c r="Q15" s="46" t="n">
        <v>14</v>
      </c>
      <c r="R15" s="46" t="n">
        <v>15</v>
      </c>
      <c r="S15" s="46" t="n">
        <v>16</v>
      </c>
      <c r="T15" s="46" t="n">
        <v>17</v>
      </c>
      <c r="U15" s="46" t="n">
        <v>18</v>
      </c>
      <c r="V15" s="46" t="n">
        <v>19</v>
      </c>
      <c r="W15" s="46" t="n">
        <v>20</v>
      </c>
      <c r="X15" s="46" t="n">
        <v>21</v>
      </c>
      <c r="Y15" s="46" t="n">
        <v>22</v>
      </c>
      <c r="Z15" s="46" t="n">
        <v>23</v>
      </c>
      <c r="AA15" s="46" t="n">
        <v>24</v>
      </c>
      <c r="AB15" s="46" t="n">
        <v>25</v>
      </c>
      <c r="AC15" s="47" t="s">
        <v>407</v>
      </c>
    </row>
    <row r="16" customFormat="false" ht="15" hidden="false" customHeight="false" outlineLevel="0" collapsed="false">
      <c r="A16" s="12" t="s">
        <v>363</v>
      </c>
      <c r="C16" s="48" t="n">
        <f aca="false">1/(1+DiscRate)^C$15</f>
        <v>1</v>
      </c>
      <c r="D16" s="48" t="n">
        <f aca="false">1/(1+DiscRate)^D$15</f>
        <v>0.909090909090909</v>
      </c>
      <c r="E16" s="48" t="n">
        <f aca="false">1/(1+DiscRate)^E$15</f>
        <v>0.826446280991735</v>
      </c>
      <c r="F16" s="48" t="n">
        <f aca="false">1/(1+DiscRate)^F$15</f>
        <v>0.751314800901578</v>
      </c>
      <c r="G16" s="48" t="n">
        <f aca="false">1/(1+DiscRate)^G$15</f>
        <v>0.683013455365071</v>
      </c>
      <c r="H16" s="48" t="n">
        <f aca="false">1/(1+DiscRate)^H$15</f>
        <v>0.620921323059155</v>
      </c>
      <c r="I16" s="48" t="n">
        <f aca="false">1/(1+DiscRate)^I$15</f>
        <v>0.564473930053777</v>
      </c>
      <c r="J16" s="48" t="n">
        <f aca="false">1/(1+DiscRate)^J$15</f>
        <v>0.513158118230707</v>
      </c>
      <c r="K16" s="48" t="n">
        <f aca="false">1/(1+DiscRate)^K$15</f>
        <v>0.466507380209733</v>
      </c>
      <c r="L16" s="48" t="n">
        <f aca="false">1/(1+DiscRate)^L$15</f>
        <v>0.424097618372485</v>
      </c>
      <c r="M16" s="48" t="n">
        <f aca="false">1/(1+DiscRate)^M$15</f>
        <v>0.385543289429531</v>
      </c>
      <c r="N16" s="48" t="n">
        <f aca="false">1/(1+DiscRate)^N$15</f>
        <v>0.350493899481392</v>
      </c>
      <c r="O16" s="48" t="n">
        <f aca="false">1/(1+DiscRate)^O$15</f>
        <v>0.318630817710357</v>
      </c>
      <c r="P16" s="48" t="n">
        <f aca="false">1/(1+DiscRate)^P$15</f>
        <v>0.289664379736688</v>
      </c>
      <c r="Q16" s="48" t="n">
        <f aca="false">1/(1+DiscRate)^Q$15</f>
        <v>0.26333125430608</v>
      </c>
      <c r="R16" s="48" t="n">
        <f aca="false">1/(1+DiscRate)^R$15</f>
        <v>0.239392049369163</v>
      </c>
      <c r="S16" s="48" t="n">
        <f aca="false">1/(1+DiscRate)^S$15</f>
        <v>0.217629135790149</v>
      </c>
      <c r="T16" s="48" t="n">
        <f aca="false">1/(1+DiscRate)^T$15</f>
        <v>0.197844668900135</v>
      </c>
      <c r="U16" s="48" t="n">
        <f aca="false">1/(1+DiscRate)^U$15</f>
        <v>0.179858789909214</v>
      </c>
      <c r="V16" s="48" t="n">
        <f aca="false">1/(1+DiscRate)^V$15</f>
        <v>0.163507990826558</v>
      </c>
      <c r="W16" s="48" t="n">
        <f aca="false">1/(1+DiscRate)^W$15</f>
        <v>0.148643628024143</v>
      </c>
      <c r="X16" s="48" t="n">
        <f aca="false">1/(1+DiscRate)^X$15</f>
        <v>0.135130570931039</v>
      </c>
      <c r="Y16" s="48" t="n">
        <f aca="false">1/(1+DiscRate)^Y$15</f>
        <v>0.122845973573672</v>
      </c>
      <c r="Z16" s="48" t="n">
        <f aca="false">1/(1+DiscRate)^Z$15</f>
        <v>0.111678157794247</v>
      </c>
      <c r="AA16" s="48" t="n">
        <f aca="false">1/(1+DiscRate)^AA$15</f>
        <v>0.10152559799477</v>
      </c>
      <c r="AB16" s="48" t="n">
        <f aca="false">1/(1+DiscRate)^AB$15</f>
        <v>0.092295998177064</v>
      </c>
    </row>
    <row r="17" customFormat="false" ht="15" hidden="false" customHeight="false" outlineLevel="0" collapsed="false">
      <c r="A17" s="12" t="s">
        <v>364</v>
      </c>
      <c r="C17" s="48" t="n">
        <f aca="false">(1+CostEsc)^C$15</f>
        <v>1</v>
      </c>
      <c r="D17" s="48" t="n">
        <f aca="false">(1+CostEsc)^D$15</f>
        <v>1.05</v>
      </c>
      <c r="E17" s="48" t="n">
        <f aca="false">(1+CostEsc)^E$15</f>
        <v>1.1025</v>
      </c>
      <c r="F17" s="48" t="n">
        <f aca="false">(1+CostEsc)^F$15</f>
        <v>1.157625</v>
      </c>
      <c r="G17" s="48" t="n">
        <f aca="false">(1+CostEsc)^G$15</f>
        <v>1.21550625</v>
      </c>
      <c r="H17" s="48" t="n">
        <f aca="false">(1+CostEsc)^H$15</f>
        <v>1.2762815625</v>
      </c>
      <c r="I17" s="48" t="n">
        <f aca="false">(1+CostEsc)^I$15</f>
        <v>1.340095640625</v>
      </c>
      <c r="J17" s="48" t="n">
        <f aca="false">(1+CostEsc)^J$15</f>
        <v>1.40710042265625</v>
      </c>
      <c r="K17" s="48" t="n">
        <f aca="false">(1+CostEsc)^K$15</f>
        <v>1.47745544378906</v>
      </c>
      <c r="L17" s="48" t="n">
        <f aca="false">(1+CostEsc)^L$15</f>
        <v>1.55132821597852</v>
      </c>
      <c r="M17" s="48" t="n">
        <f aca="false">(1+CostEsc)^M$15</f>
        <v>1.62889462677744</v>
      </c>
      <c r="N17" s="48" t="n">
        <f aca="false">(1+CostEsc)^N$15</f>
        <v>1.71033935811631</v>
      </c>
      <c r="O17" s="48" t="n">
        <f aca="false">(1+CostEsc)^O$15</f>
        <v>1.79585632602213</v>
      </c>
      <c r="P17" s="48" t="n">
        <f aca="false">(1+CostEsc)^P$15</f>
        <v>1.88564914232324</v>
      </c>
      <c r="Q17" s="48" t="n">
        <f aca="false">(1+CostEsc)^Q$15</f>
        <v>1.9799315994394</v>
      </c>
      <c r="R17" s="48" t="n">
        <f aca="false">(1+CostEsc)^R$15</f>
        <v>2.07892817941137</v>
      </c>
      <c r="S17" s="48" t="n">
        <f aca="false">(1+CostEsc)^S$15</f>
        <v>2.18287458838194</v>
      </c>
      <c r="T17" s="48" t="n">
        <f aca="false">(1+CostEsc)^T$15</f>
        <v>2.29201831780103</v>
      </c>
      <c r="U17" s="48" t="n">
        <f aca="false">(1+CostEsc)^U$15</f>
        <v>2.40661923369109</v>
      </c>
      <c r="V17" s="48" t="n">
        <f aca="false">(1+CostEsc)^V$15</f>
        <v>2.52695019537564</v>
      </c>
      <c r="W17" s="48" t="n">
        <f aca="false">(1+CostEsc)^W$15</f>
        <v>2.65329770514442</v>
      </c>
      <c r="X17" s="48" t="n">
        <f aca="false">(1+CostEsc)^X$15</f>
        <v>2.78596259040164</v>
      </c>
      <c r="Y17" s="48" t="n">
        <f aca="false">(1+CostEsc)^Y$15</f>
        <v>2.92526071992173</v>
      </c>
      <c r="Z17" s="48" t="n">
        <f aca="false">(1+CostEsc)^Z$15</f>
        <v>3.07152375591781</v>
      </c>
      <c r="AA17" s="48" t="n">
        <f aca="false">(1+CostEsc)^AA$15</f>
        <v>3.2250999437137</v>
      </c>
      <c r="AB17" s="48" t="n">
        <f aca="false">(1+CostEsc)^AB$15</f>
        <v>3.38635494089939</v>
      </c>
    </row>
    <row r="18" customFormat="false" ht="15" hidden="false" customHeight="false" outlineLevel="0" collapsed="false">
      <c r="A18" s="12" t="s">
        <v>461</v>
      </c>
      <c r="C18" s="51" t="n">
        <v>0</v>
      </c>
      <c r="D18" s="51" t="n">
        <f aca="false">IF(D$15&lt;=WkLife,WkKWp*WkYield*(1-WkDegr)^(D$15-1),0)</f>
        <v>184</v>
      </c>
      <c r="E18" s="51" t="n">
        <f aca="false">IF(E$15&lt;=WkLife,WkKWp*WkYield*(1-WkDegr)^(E$15-1),0)</f>
        <v>182.712</v>
      </c>
      <c r="F18" s="51" t="n">
        <f aca="false">IF(F$15&lt;=WkLife,WkKWp*WkYield*(1-WkDegr)^(F$15-1),0)</f>
        <v>181.433016</v>
      </c>
      <c r="G18" s="51" t="n">
        <f aca="false">IF(G$15&lt;=WkLife,WkKWp*WkYield*(1-WkDegr)^(G$15-1),0)</f>
        <v>180.162984888</v>
      </c>
      <c r="H18" s="51" t="n">
        <f aca="false">IF(H$15&lt;=WkLife,WkKWp*WkYield*(1-WkDegr)^(H$15-1),0)</f>
        <v>178.901843993784</v>
      </c>
      <c r="I18" s="51" t="n">
        <f aca="false">IF(I$15&lt;=WkLife,WkKWp*WkYield*(1-WkDegr)^(I$15-1),0)</f>
        <v>177.649531085828</v>
      </c>
      <c r="J18" s="51" t="n">
        <f aca="false">IF(J$15&lt;=WkLife,WkKWp*WkYield*(1-WkDegr)^(J$15-1),0)</f>
        <v>176.405984368227</v>
      </c>
      <c r="K18" s="51" t="n">
        <f aca="false">IF(K$15&lt;=WkLife,WkKWp*WkYield*(1-WkDegr)^(K$15-1),0)</f>
        <v>175.171142477649</v>
      </c>
      <c r="L18" s="51" t="n">
        <f aca="false">IF(L$15&lt;=WkLife,WkKWp*WkYield*(1-WkDegr)^(L$15-1),0)</f>
        <v>173.944944480306</v>
      </c>
      <c r="M18" s="51" t="n">
        <f aca="false">IF(M$15&lt;=WkLife,WkKWp*WkYield*(1-WkDegr)^(M$15-1),0)</f>
        <v>172.727329868943</v>
      </c>
      <c r="N18" s="51" t="n">
        <f aca="false">IF(N$15&lt;=WkLife,WkKWp*WkYield*(1-WkDegr)^(N$15-1),0)</f>
        <v>171.518238559861</v>
      </c>
      <c r="O18" s="51" t="n">
        <f aca="false">IF(O$15&lt;=WkLife,WkKWp*WkYield*(1-WkDegr)^(O$15-1),0)</f>
        <v>170.317610889942</v>
      </c>
      <c r="P18" s="51" t="n">
        <f aca="false">IF(P$15&lt;=WkLife,WkKWp*WkYield*(1-WkDegr)^(P$15-1),0)</f>
        <v>169.125387613712</v>
      </c>
      <c r="Q18" s="51" t="n">
        <f aca="false">IF(Q$15&lt;=WkLife,WkKWp*WkYield*(1-WkDegr)^(Q$15-1),0)</f>
        <v>167.941509900416</v>
      </c>
      <c r="R18" s="51" t="n">
        <f aca="false">IF(R$15&lt;=WkLife,WkKWp*WkYield*(1-WkDegr)^(R$15-1),0)</f>
        <v>166.765919331113</v>
      </c>
      <c r="S18" s="51" t="n">
        <f aca="false">IF(S$15&lt;=WkLife,WkKWp*WkYield*(1-WkDegr)^(S$15-1),0)</f>
        <v>165.598557895796</v>
      </c>
      <c r="T18" s="51" t="n">
        <f aca="false">IF(T$15&lt;=WkLife,WkKWp*WkYield*(1-WkDegr)^(T$15-1),0)</f>
        <v>164.439367990525</v>
      </c>
      <c r="U18" s="51" t="n">
        <f aca="false">IF(U$15&lt;=WkLife,WkKWp*WkYield*(1-WkDegr)^(U$15-1),0)</f>
        <v>163.288292414591</v>
      </c>
      <c r="V18" s="51" t="n">
        <f aca="false">IF(V$15&lt;=WkLife,WkKWp*WkYield*(1-WkDegr)^(V$15-1),0)</f>
        <v>162.145274367689</v>
      </c>
      <c r="W18" s="51" t="n">
        <f aca="false">IF(W$15&lt;=WkLife,WkKWp*WkYield*(1-WkDegr)^(W$15-1),0)</f>
        <v>161.010257447115</v>
      </c>
      <c r="X18" s="51" t="n">
        <f aca="false">IF(X$15&lt;=WkLife,WkKWp*WkYield*(1-WkDegr)^(X$15-1),0)</f>
        <v>0</v>
      </c>
      <c r="Y18" s="51" t="n">
        <f aca="false">IF(Y$15&lt;=WkLife,WkKWp*WkYield*(1-WkDegr)^(Y$15-1),0)</f>
        <v>0</v>
      </c>
      <c r="Z18" s="51" t="n">
        <f aca="false">IF(Z$15&lt;=WkLife,WkKWp*WkYield*(1-WkDegr)^(Z$15-1),0)</f>
        <v>0</v>
      </c>
      <c r="AA18" s="51" t="n">
        <f aca="false">IF(AA$15&lt;=WkLife,WkKWp*WkYield*(1-WkDegr)^(AA$15-1),0)</f>
        <v>0</v>
      </c>
      <c r="AB18" s="51" t="n">
        <f aca="false">IF(AB$15&lt;=WkLife,WkKWp*WkYield*(1-WkDegr)^(AB$15-1),0)</f>
        <v>0</v>
      </c>
      <c r="AC18" s="53" t="n">
        <f aca="false">SUMPRODUCT(C18:AB18,C$16:AB$16)</f>
        <v>1497.51760023992</v>
      </c>
    </row>
    <row r="19" customFormat="false" ht="15" hidden="false" customHeight="false" outlineLevel="0" collapsed="false">
      <c r="A19" s="12" t="s">
        <v>462</v>
      </c>
      <c r="C19" s="59" t="n">
        <v>0</v>
      </c>
      <c r="D19" s="59" t="n">
        <f aca="false">WkTariff*(1+TariffEsc)^(D$15-1)</f>
        <v>12</v>
      </c>
      <c r="E19" s="59" t="n">
        <f aca="false">WkTariff*(1+TariffEsc)^(E$15-1)</f>
        <v>12.36</v>
      </c>
      <c r="F19" s="59" t="n">
        <f aca="false">WkTariff*(1+TariffEsc)^(F$15-1)</f>
        <v>12.7308</v>
      </c>
      <c r="G19" s="59" t="n">
        <f aca="false">WkTariff*(1+TariffEsc)^(G$15-1)</f>
        <v>13.112724</v>
      </c>
      <c r="H19" s="59" t="n">
        <f aca="false">WkTariff*(1+TariffEsc)^(H$15-1)</f>
        <v>13.50610572</v>
      </c>
      <c r="I19" s="59" t="n">
        <f aca="false">WkTariff*(1+TariffEsc)^(I$15-1)</f>
        <v>13.9112888916</v>
      </c>
      <c r="J19" s="59" t="n">
        <f aca="false">WkTariff*(1+TariffEsc)^(J$15-1)</f>
        <v>14.328627558348</v>
      </c>
      <c r="K19" s="59" t="n">
        <f aca="false">WkTariff*(1+TariffEsc)^(K$15-1)</f>
        <v>14.7584863850984</v>
      </c>
      <c r="L19" s="59" t="n">
        <f aca="false">WkTariff*(1+TariffEsc)^(L$15-1)</f>
        <v>15.2012409766514</v>
      </c>
      <c r="M19" s="59" t="n">
        <f aca="false">WkTariff*(1+TariffEsc)^(M$15-1)</f>
        <v>15.6572782059509</v>
      </c>
      <c r="N19" s="59" t="n">
        <f aca="false">WkTariff*(1+TariffEsc)^(N$15-1)</f>
        <v>16.1269965521295</v>
      </c>
      <c r="O19" s="59" t="n">
        <f aca="false">WkTariff*(1+TariffEsc)^(O$15-1)</f>
        <v>16.6108064486934</v>
      </c>
      <c r="P19" s="59" t="n">
        <f aca="false">WkTariff*(1+TariffEsc)^(P$15-1)</f>
        <v>17.1091306421542</v>
      </c>
      <c r="Q19" s="59" t="n">
        <f aca="false">WkTariff*(1+TariffEsc)^(Q$15-1)</f>
        <v>17.6224045614188</v>
      </c>
      <c r="R19" s="59" t="n">
        <f aca="false">WkTariff*(1+TariffEsc)^(R$15-1)</f>
        <v>18.1510766982613</v>
      </c>
      <c r="S19" s="59" t="n">
        <f aca="false">WkTariff*(1+TariffEsc)^(S$15-1)</f>
        <v>18.6956089992092</v>
      </c>
      <c r="T19" s="59" t="n">
        <f aca="false">WkTariff*(1+TariffEsc)^(T$15-1)</f>
        <v>19.2564772691855</v>
      </c>
      <c r="U19" s="59" t="n">
        <f aca="false">WkTariff*(1+TariffEsc)^(U$15-1)</f>
        <v>19.834171587261</v>
      </c>
      <c r="V19" s="59" t="n">
        <f aca="false">WkTariff*(1+TariffEsc)^(V$15-1)</f>
        <v>20.4291967348789</v>
      </c>
      <c r="W19" s="59" t="n">
        <f aca="false">WkTariff*(1+TariffEsc)^(W$15-1)</f>
        <v>21.0420726369252</v>
      </c>
      <c r="X19" s="59" t="n">
        <f aca="false">WkTariff*(1+TariffEsc)^(X$15-1)</f>
        <v>21.673334816033</v>
      </c>
      <c r="Y19" s="59" t="n">
        <f aca="false">WkTariff*(1+TariffEsc)^(Y$15-1)</f>
        <v>22.323534860514</v>
      </c>
      <c r="Z19" s="59" t="n">
        <f aca="false">WkTariff*(1+TariffEsc)^(Z$15-1)</f>
        <v>22.9932409063294</v>
      </c>
      <c r="AA19" s="59" t="n">
        <f aca="false">WkTariff*(1+TariffEsc)^(AA$15-1)</f>
        <v>23.6830381335193</v>
      </c>
      <c r="AB19" s="59" t="n">
        <f aca="false">WkTariff*(1+TariffEsc)^(AB$15-1)</f>
        <v>24.3935292775249</v>
      </c>
    </row>
    <row r="20" customFormat="false" ht="15" hidden="false" customHeight="false" outlineLevel="0" collapsed="false">
      <c r="A20" s="12" t="s">
        <v>463</v>
      </c>
      <c r="C20" s="22" t="n">
        <v>0</v>
      </c>
      <c r="D20" s="22" t="n">
        <f aca="false">D18*D19</f>
        <v>2208</v>
      </c>
      <c r="E20" s="22" t="n">
        <f aca="false">E18*E19</f>
        <v>2258.32032</v>
      </c>
      <c r="F20" s="22" t="n">
        <f aca="false">F18*F19</f>
        <v>2309.7874400928</v>
      </c>
      <c r="G20" s="22" t="n">
        <f aca="false">G18*G19</f>
        <v>2362.42749585252</v>
      </c>
      <c r="H20" s="22" t="n">
        <f aca="false">H18*H19</f>
        <v>2416.26721848299</v>
      </c>
      <c r="I20" s="22" t="n">
        <f aca="false">I18*I19</f>
        <v>2471.33394839222</v>
      </c>
      <c r="J20" s="22" t="n">
        <f aca="false">J18*J19</f>
        <v>2527.65564907608</v>
      </c>
      <c r="K20" s="22" t="n">
        <f aca="false">K18*K19</f>
        <v>2585.26092131852</v>
      </c>
      <c r="L20" s="22" t="n">
        <f aca="false">L18*L19</f>
        <v>2644.17901771537</v>
      </c>
      <c r="M20" s="22" t="n">
        <f aca="false">M18*M19</f>
        <v>2704.43985752911</v>
      </c>
      <c r="N20" s="22" t="n">
        <f aca="false">N18*N19</f>
        <v>2766.07404188219</v>
      </c>
      <c r="O20" s="22" t="n">
        <f aca="false">O18*O19</f>
        <v>2829.11286929669</v>
      </c>
      <c r="P20" s="22" t="n">
        <f aca="false">P18*P19</f>
        <v>2893.58835158796</v>
      </c>
      <c r="Q20" s="22" t="n">
        <f aca="false">Q18*Q19</f>
        <v>2959.53323012065</v>
      </c>
      <c r="R20" s="22" t="n">
        <f aca="false">R18*R19</f>
        <v>3026.9809924351</v>
      </c>
      <c r="S20" s="22" t="n">
        <f aca="false">S18*S19</f>
        <v>3095.9658892527</v>
      </c>
      <c r="T20" s="22" t="n">
        <f aca="false">T18*T19</f>
        <v>3166.52295186877</v>
      </c>
      <c r="U20" s="22" t="n">
        <f aca="false">U18*U19</f>
        <v>3238.68800994186</v>
      </c>
      <c r="V20" s="22" t="n">
        <f aca="false">V18*V19</f>
        <v>3312.49770968843</v>
      </c>
      <c r="W20" s="22" t="n">
        <f aca="false">W18*W19</f>
        <v>3387.98953249223</v>
      </c>
      <c r="X20" s="22" t="n">
        <f aca="false">X18*X19</f>
        <v>0</v>
      </c>
      <c r="Y20" s="22" t="n">
        <f aca="false">Y18*Y19</f>
        <v>0</v>
      </c>
      <c r="Z20" s="22" t="n">
        <f aca="false">Z18*Z19</f>
        <v>0</v>
      </c>
      <c r="AA20" s="22" t="n">
        <f aca="false">AA18*AA19</f>
        <v>0</v>
      </c>
      <c r="AB20" s="22" t="n">
        <f aca="false">AB18*AB19</f>
        <v>0</v>
      </c>
      <c r="AC20" s="36" t="n">
        <f aca="false">SUMPRODUCT(C20:AB20,C$16:AB$16)</f>
        <v>21926.1731710977</v>
      </c>
    </row>
    <row r="21" customFormat="false" ht="15" hidden="false" customHeight="false" outlineLevel="0" collapsed="false">
      <c r="A21" s="12" t="s">
        <v>464</v>
      </c>
      <c r="C21" s="22" t="n">
        <v>0</v>
      </c>
      <c r="D21" s="22" t="n">
        <f aca="false">IF(D$15&lt;=WkLife,-WkOM*D17,0)</f>
        <v>-157.5</v>
      </c>
      <c r="E21" s="22" t="n">
        <f aca="false">IF(E$15&lt;=WkLife,-WkOM*E17,0)</f>
        <v>-165.375</v>
      </c>
      <c r="F21" s="22" t="n">
        <f aca="false">IF(F$15&lt;=WkLife,-WkOM*F17,0)</f>
        <v>-173.64375</v>
      </c>
      <c r="G21" s="22" t="n">
        <f aca="false">IF(G$15&lt;=WkLife,-WkOM*G17,0)</f>
        <v>-182.3259375</v>
      </c>
      <c r="H21" s="22" t="n">
        <f aca="false">IF(H$15&lt;=WkLife,-WkOM*H17,0)</f>
        <v>-191.442234375</v>
      </c>
      <c r="I21" s="22" t="n">
        <f aca="false">IF(I$15&lt;=WkLife,-WkOM*I17,0)</f>
        <v>-201.01434609375</v>
      </c>
      <c r="J21" s="22" t="n">
        <f aca="false">IF(J$15&lt;=WkLife,-WkOM*J17,0)</f>
        <v>-211.065063398438</v>
      </c>
      <c r="K21" s="22" t="n">
        <f aca="false">IF(K$15&lt;=WkLife,-WkOM*K17,0)</f>
        <v>-221.618316568359</v>
      </c>
      <c r="L21" s="22" t="n">
        <f aca="false">IF(L$15&lt;=WkLife,-WkOM*L17,0)</f>
        <v>-232.699232396777</v>
      </c>
      <c r="M21" s="22" t="n">
        <f aca="false">IF(M$15&lt;=WkLife,-WkOM*M17,0)</f>
        <v>-244.334194016616</v>
      </c>
      <c r="N21" s="22" t="n">
        <f aca="false">IF(N$15&lt;=WkLife,-WkOM*N17,0)</f>
        <v>-256.550903717447</v>
      </c>
      <c r="O21" s="22" t="n">
        <f aca="false">IF(O$15&lt;=WkLife,-WkOM*O17,0)</f>
        <v>-269.37844890332</v>
      </c>
      <c r="P21" s="22" t="n">
        <f aca="false">IF(P$15&lt;=WkLife,-WkOM*P17,0)</f>
        <v>-282.847371348486</v>
      </c>
      <c r="Q21" s="22" t="n">
        <f aca="false">IF(Q$15&lt;=WkLife,-WkOM*Q17,0)</f>
        <v>-296.98973991591</v>
      </c>
      <c r="R21" s="22" t="n">
        <f aca="false">IF(R$15&lt;=WkLife,-WkOM*R17,0)</f>
        <v>-311.839226911705</v>
      </c>
      <c r="S21" s="22" t="n">
        <f aca="false">IF(S$15&lt;=WkLife,-WkOM*S17,0)</f>
        <v>-327.431188257291</v>
      </c>
      <c r="T21" s="22" t="n">
        <f aca="false">IF(T$15&lt;=WkLife,-WkOM*T17,0)</f>
        <v>-343.802747670155</v>
      </c>
      <c r="U21" s="22" t="n">
        <f aca="false">IF(U$15&lt;=WkLife,-WkOM*U17,0)</f>
        <v>-360.992885053663</v>
      </c>
      <c r="V21" s="22" t="n">
        <f aca="false">IF(V$15&lt;=WkLife,-WkOM*V17,0)</f>
        <v>-379.042529306346</v>
      </c>
      <c r="W21" s="22" t="n">
        <f aca="false">IF(W$15&lt;=WkLife,-WkOM*W17,0)</f>
        <v>-397.994655771663</v>
      </c>
      <c r="X21" s="22" t="n">
        <f aca="false">IF(X$15&lt;=WkLife,-WkOM*X17,0)</f>
        <v>0</v>
      </c>
      <c r="Y21" s="22" t="n">
        <f aca="false">IF(Y$15&lt;=WkLife,-WkOM*Y17,0)</f>
        <v>0</v>
      </c>
      <c r="Z21" s="22" t="n">
        <f aca="false">IF(Z$15&lt;=WkLife,-WkOM*Z17,0)</f>
        <v>0</v>
      </c>
      <c r="AA21" s="22" t="n">
        <f aca="false">IF(AA$15&lt;=WkLife,-WkOM*AA17,0)</f>
        <v>0</v>
      </c>
      <c r="AB21" s="22" t="n">
        <f aca="false">IF(AB$15&lt;=WkLife,-WkOM*AB17,0)</f>
        <v>0</v>
      </c>
      <c r="AC21" s="36" t="n">
        <f aca="false">SUMPRODUCT(C21:AB21,C$16:AB$16)</f>
        <v>-1907.65323906948</v>
      </c>
    </row>
    <row r="22" customFormat="false" ht="15" hidden="false" customHeight="false" outlineLevel="0" collapsed="false">
      <c r="A22" s="12" t="s">
        <v>465</v>
      </c>
      <c r="C22" s="22" t="n">
        <v>0</v>
      </c>
      <c r="D22" s="22" t="n">
        <f aca="false">IF(D$15=InvYear,-InvRepl*WkKWp*D17,0)</f>
        <v>0</v>
      </c>
      <c r="E22" s="22" t="n">
        <f aca="false">IF(E$15=InvYear,-InvRepl*WkKWp*E17,0)</f>
        <v>0</v>
      </c>
      <c r="F22" s="22" t="n">
        <f aca="false">IF(F$15=InvYear,-InvRepl*WkKWp*F17,0)</f>
        <v>0</v>
      </c>
      <c r="G22" s="22" t="n">
        <f aca="false">IF(G$15=InvYear,-InvRepl*WkKWp*G17,0)</f>
        <v>0</v>
      </c>
      <c r="H22" s="22" t="n">
        <f aca="false">IF(H$15=InvYear,-InvRepl*WkKWp*H17,0)</f>
        <v>0</v>
      </c>
      <c r="I22" s="22" t="n">
        <f aca="false">IF(I$15=InvYear,-InvRepl*WkKWp*I17,0)</f>
        <v>0</v>
      </c>
      <c r="J22" s="22" t="n">
        <f aca="false">IF(J$15=InvYear,-InvRepl*WkKWp*J17,0)</f>
        <v>0</v>
      </c>
      <c r="K22" s="22" t="n">
        <f aca="false">IF(K$15=InvYear,-InvRepl*WkKWp*K17,0)</f>
        <v>0</v>
      </c>
      <c r="L22" s="22" t="n">
        <f aca="false">IF(L$15=InvYear,-InvRepl*WkKWp*L17,0)</f>
        <v>0</v>
      </c>
      <c r="M22" s="22" t="n">
        <f aca="false">IF(M$15=InvYear,-InvRepl*WkKWp*M17,0)</f>
        <v>0</v>
      </c>
      <c r="N22" s="22" t="n">
        <f aca="false">IF(N$15=InvYear,-InvRepl*WkKWp*N17,0)</f>
        <v>0</v>
      </c>
      <c r="O22" s="22" t="n">
        <f aca="false">IF(O$15=InvYear,-InvRepl*WkKWp*O17,0)</f>
        <v>-1149.34804865416</v>
      </c>
      <c r="P22" s="22" t="n">
        <f aca="false">IF(P$15=InvYear,-InvRepl*WkKWp*P17,0)</f>
        <v>0</v>
      </c>
      <c r="Q22" s="22" t="n">
        <f aca="false">IF(Q$15=InvYear,-InvRepl*WkKWp*Q17,0)</f>
        <v>0</v>
      </c>
      <c r="R22" s="22" t="n">
        <f aca="false">IF(R$15=InvYear,-InvRepl*WkKWp*R17,0)</f>
        <v>0</v>
      </c>
      <c r="S22" s="22" t="n">
        <f aca="false">IF(S$15=InvYear,-InvRepl*WkKWp*S17,0)</f>
        <v>0</v>
      </c>
      <c r="T22" s="22" t="n">
        <f aca="false">IF(T$15=InvYear,-InvRepl*WkKWp*T17,0)</f>
        <v>0</v>
      </c>
      <c r="U22" s="22" t="n">
        <f aca="false">IF(U$15=InvYear,-InvRepl*WkKWp*U17,0)</f>
        <v>0</v>
      </c>
      <c r="V22" s="22" t="n">
        <f aca="false">IF(V$15=InvYear,-InvRepl*WkKWp*V17,0)</f>
        <v>0</v>
      </c>
      <c r="W22" s="22" t="n">
        <f aca="false">IF(W$15=InvYear,-InvRepl*WkKWp*W17,0)</f>
        <v>0</v>
      </c>
      <c r="X22" s="22" t="n">
        <f aca="false">IF(X$15=InvYear,-InvRepl*WkKWp*X17,0)</f>
        <v>0</v>
      </c>
      <c r="Y22" s="22" t="n">
        <f aca="false">IF(Y$15=InvYear,-InvRepl*WkKWp*Y17,0)</f>
        <v>0</v>
      </c>
      <c r="Z22" s="22" t="n">
        <f aca="false">IF(Z$15=InvYear,-InvRepl*WkKWp*Z17,0)</f>
        <v>0</v>
      </c>
      <c r="AA22" s="22" t="n">
        <f aca="false">IF(AA$15=InvYear,-InvRepl*WkKWp*AA17,0)</f>
        <v>0</v>
      </c>
      <c r="AB22" s="22" t="n">
        <f aca="false">IF(AB$15=InvYear,-InvRepl*WkKWp*AB17,0)</f>
        <v>0</v>
      </c>
      <c r="AC22" s="36" t="n">
        <f aca="false">SUMPRODUCT(C22:AB22,C$16:AB$16)</f>
        <v>-366.217708576479</v>
      </c>
    </row>
    <row r="23" customFormat="false" ht="15" hidden="false" customHeight="false" outlineLevel="0" collapsed="false">
      <c r="A23" s="12" t="s">
        <v>466</v>
      </c>
      <c r="C23" s="22" t="n">
        <f aca="false">-WkInc</f>
        <v>-11478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36" t="n">
        <f aca="false">SUMPRODUCT(C23:AB23,C$16:AB$16)</f>
        <v>-11478</v>
      </c>
    </row>
    <row r="24" customFormat="false" ht="15" hidden="false" customHeight="false" outlineLevel="0" collapsed="false">
      <c r="A24" s="4" t="s">
        <v>467</v>
      </c>
      <c r="C24" s="36" t="n">
        <f aca="false">C20+C21+C22+C23</f>
        <v>-11478</v>
      </c>
      <c r="D24" s="36" t="n">
        <f aca="false">D20+D21+D22+D23</f>
        <v>2050.5</v>
      </c>
      <c r="E24" s="36" t="n">
        <f aca="false">E20+E21+E22+E23</f>
        <v>2092.94532</v>
      </c>
      <c r="F24" s="36" t="n">
        <f aca="false">F20+F21+F22+F23</f>
        <v>2136.1436900928</v>
      </c>
      <c r="G24" s="36" t="n">
        <f aca="false">G20+G21+G22+G23</f>
        <v>2180.10155835252</v>
      </c>
      <c r="H24" s="36" t="n">
        <f aca="false">H20+H21+H22+H23</f>
        <v>2224.82498410799</v>
      </c>
      <c r="I24" s="36" t="n">
        <f aca="false">I20+I21+I22+I23</f>
        <v>2270.31960229847</v>
      </c>
      <c r="J24" s="36" t="n">
        <f aca="false">J20+J21+J22+J23</f>
        <v>2316.59058567764</v>
      </c>
      <c r="K24" s="36" t="n">
        <f aca="false">K20+K21+K22+K23</f>
        <v>2363.64260475016</v>
      </c>
      <c r="L24" s="36" t="n">
        <f aca="false">L20+L21+L22+L23</f>
        <v>2411.4797853186</v>
      </c>
      <c r="M24" s="36" t="n">
        <f aca="false">M20+M21+M22+M23</f>
        <v>2460.10566351249</v>
      </c>
      <c r="N24" s="36" t="n">
        <f aca="false">N20+N21+N22+N23</f>
        <v>2509.52313816475</v>
      </c>
      <c r="O24" s="36" t="n">
        <f aca="false">O20+O21+O22+O23</f>
        <v>1410.38637173921</v>
      </c>
      <c r="P24" s="36" t="n">
        <f aca="false">P20+P21+P22+P23</f>
        <v>2610.74098023948</v>
      </c>
      <c r="Q24" s="36" t="n">
        <f aca="false">Q20+Q21+Q22+Q23</f>
        <v>2662.54349020474</v>
      </c>
      <c r="R24" s="36" t="n">
        <f aca="false">R20+R21+R22+R23</f>
        <v>2715.1417655234</v>
      </c>
      <c r="S24" s="36" t="n">
        <f aca="false">S20+S21+S22+S23</f>
        <v>2768.53470099541</v>
      </c>
      <c r="T24" s="36" t="n">
        <f aca="false">T20+T21+T22+T23</f>
        <v>2822.72020419861</v>
      </c>
      <c r="U24" s="36" t="n">
        <f aca="false">U20+U21+U22+U23</f>
        <v>2877.69512488819</v>
      </c>
      <c r="V24" s="36" t="n">
        <f aca="false">V20+V21+V22+V23</f>
        <v>2933.45518038208</v>
      </c>
      <c r="W24" s="36" t="n">
        <f aca="false">W20+W21+W22+W23</f>
        <v>2989.99487672057</v>
      </c>
      <c r="X24" s="36" t="n">
        <f aca="false">X20+X21+X22+X23</f>
        <v>0</v>
      </c>
      <c r="Y24" s="36" t="n">
        <f aca="false">Y20+Y21+Y22+Y23</f>
        <v>0</v>
      </c>
      <c r="Z24" s="36" t="n">
        <f aca="false">Z20+Z21+Z22+Z23</f>
        <v>0</v>
      </c>
      <c r="AA24" s="36" t="n">
        <f aca="false">AA20+AA21+AA22+AA23</f>
        <v>0</v>
      </c>
      <c r="AB24" s="36" t="n">
        <f aca="false">AB20+AB21+AB22+AB23</f>
        <v>0</v>
      </c>
      <c r="AC24" s="36" t="n">
        <f aca="false">SUMPRODUCT(C24:AB24,C$16:AB$16)</f>
        <v>8174.30222345172</v>
      </c>
    </row>
    <row r="25" customFormat="false" ht="15" hidden="false" customHeight="false" outlineLevel="0" collapsed="false">
      <c r="A25" s="12" t="s">
        <v>468</v>
      </c>
      <c r="C25" s="22" t="n">
        <f aca="false">C24</f>
        <v>-11478</v>
      </c>
      <c r="D25" s="22" t="n">
        <f aca="false">C25+D24</f>
        <v>-9427.5</v>
      </c>
      <c r="E25" s="22" t="n">
        <f aca="false">D25+E24</f>
        <v>-7334.55468</v>
      </c>
      <c r="F25" s="22" t="n">
        <f aca="false">E25+F24</f>
        <v>-5198.4109899072</v>
      </c>
      <c r="G25" s="22" t="n">
        <f aca="false">F25+G24</f>
        <v>-3018.30943155469</v>
      </c>
      <c r="H25" s="22" t="n">
        <f aca="false">G25+H24</f>
        <v>-793.484447446692</v>
      </c>
      <c r="I25" s="22" t="n">
        <f aca="false">H25+I24</f>
        <v>1476.83515485178</v>
      </c>
      <c r="J25" s="22" t="n">
        <f aca="false">I25+J24</f>
        <v>3793.42574052942</v>
      </c>
      <c r="K25" s="22" t="n">
        <f aca="false">J25+K24</f>
        <v>6157.06834527959</v>
      </c>
      <c r="L25" s="22" t="n">
        <f aca="false">K25+L24</f>
        <v>8568.54813059818</v>
      </c>
      <c r="M25" s="22" t="n">
        <f aca="false">L25+M24</f>
        <v>11028.6537941107</v>
      </c>
      <c r="N25" s="22" t="n">
        <f aca="false">M25+N24</f>
        <v>13538.1769322754</v>
      </c>
      <c r="O25" s="22" t="n">
        <f aca="false">N25+O24</f>
        <v>14948.5633040146</v>
      </c>
      <c r="P25" s="22" t="n">
        <f aca="false">O25+P24</f>
        <v>17559.3042842541</v>
      </c>
      <c r="Q25" s="22" t="n">
        <f aca="false">P25+Q24</f>
        <v>20221.8477744589</v>
      </c>
      <c r="R25" s="22" t="n">
        <f aca="false">Q25+R24</f>
        <v>22936.9895399822</v>
      </c>
      <c r="S25" s="22" t="n">
        <f aca="false">R25+S24</f>
        <v>25705.5242409777</v>
      </c>
      <c r="T25" s="22" t="n">
        <f aca="false">S25+T24</f>
        <v>28528.2444451763</v>
      </c>
      <c r="U25" s="22" t="n">
        <f aca="false">T25+U24</f>
        <v>31405.9395700645</v>
      </c>
      <c r="V25" s="22" t="n">
        <f aca="false">U25+V24</f>
        <v>34339.3947504465</v>
      </c>
      <c r="W25" s="22" t="n">
        <f aca="false">V25+W24</f>
        <v>37329.3896271671</v>
      </c>
      <c r="X25" s="22" t="n">
        <f aca="false">W25+X24</f>
        <v>37329.3896271671</v>
      </c>
      <c r="Y25" s="22" t="n">
        <f aca="false">X25+Y24</f>
        <v>37329.3896271671</v>
      </c>
      <c r="Z25" s="22" t="n">
        <f aca="false">Y25+Z24</f>
        <v>37329.3896271671</v>
      </c>
      <c r="AA25" s="22" t="n">
        <f aca="false">Z25+AA24</f>
        <v>37329.3896271671</v>
      </c>
      <c r="AB25" s="22" t="n">
        <f aca="false">AA25+AB24</f>
        <v>37329.3896271671</v>
      </c>
    </row>
    <row r="26" customFormat="false" ht="15" hidden="false" customHeight="false" outlineLevel="0" collapsed="false">
      <c r="A26" s="12" t="s">
        <v>469</v>
      </c>
      <c r="C26" s="22" t="n">
        <f aca="false">WkSolarPart</f>
        <v>11500</v>
      </c>
      <c r="D26" s="22" t="n">
        <f aca="false">WkSolarPart</f>
        <v>11500</v>
      </c>
      <c r="E26" s="22" t="n">
        <f aca="false">D26-D27</f>
        <v>6900</v>
      </c>
      <c r="F26" s="22" t="n">
        <f aca="false">E26-E27</f>
        <v>4140</v>
      </c>
      <c r="G26" s="22" t="n">
        <f aca="false">F26-F27</f>
        <v>2484</v>
      </c>
      <c r="H26" s="22" t="n">
        <f aca="false">G26-G27</f>
        <v>1490.4</v>
      </c>
      <c r="I26" s="22" t="n">
        <f aca="false">H26-H27</f>
        <v>894.24</v>
      </c>
      <c r="J26" s="22" t="n">
        <f aca="false">I26-I27</f>
        <v>536.544</v>
      </c>
      <c r="K26" s="22" t="n">
        <f aca="false">J26-J27</f>
        <v>321.9264</v>
      </c>
      <c r="L26" s="22" t="n">
        <f aca="false">K26-K27</f>
        <v>193.15584</v>
      </c>
      <c r="M26" s="22" t="n">
        <f aca="false">L26-L27</f>
        <v>115.893504</v>
      </c>
      <c r="N26" s="22" t="n">
        <f aca="false">M26-M27</f>
        <v>69.5361024</v>
      </c>
      <c r="O26" s="22" t="n">
        <f aca="false">N26-N27</f>
        <v>41.72166144</v>
      </c>
      <c r="P26" s="22" t="n">
        <f aca="false">O26-O27</f>
        <v>25.032996864</v>
      </c>
      <c r="Q26" s="22" t="n">
        <f aca="false">P26-P27</f>
        <v>15.0197981184</v>
      </c>
      <c r="R26" s="22" t="n">
        <f aca="false">Q26-Q27</f>
        <v>9.01187887104</v>
      </c>
      <c r="S26" s="22" t="n">
        <f aca="false">R26-R27</f>
        <v>5.407127322624</v>
      </c>
      <c r="T26" s="22" t="n">
        <f aca="false">S26-S27</f>
        <v>3.2442763935744</v>
      </c>
      <c r="U26" s="22" t="n">
        <f aca="false">T26-T27</f>
        <v>1.94656583614464</v>
      </c>
      <c r="V26" s="22" t="n">
        <f aca="false">U26-U27</f>
        <v>1.16793950168678</v>
      </c>
      <c r="W26" s="22" t="n">
        <f aca="false">V26-V27</f>
        <v>0.70076370101207</v>
      </c>
      <c r="X26" s="22" t="n">
        <f aca="false">W26-W27</f>
        <v>0.420458220607242</v>
      </c>
      <c r="Y26" s="22" t="n">
        <f aca="false">X26-X27</f>
        <v>0.252274932364345</v>
      </c>
      <c r="Z26" s="22" t="n">
        <f aca="false">Y26-Y27</f>
        <v>0.151364959418607</v>
      </c>
      <c r="AA26" s="22" t="n">
        <f aca="false">Z26-Z27</f>
        <v>0.0908189756511643</v>
      </c>
      <c r="AB26" s="22" t="n">
        <f aca="false">AA26-AA27</f>
        <v>0.0544913853906986</v>
      </c>
    </row>
    <row r="27" customFormat="false" ht="15" hidden="false" customHeight="false" outlineLevel="0" collapsed="false">
      <c r="A27" s="12" t="s">
        <v>470</v>
      </c>
      <c r="C27" s="22" t="n">
        <v>0</v>
      </c>
      <c r="D27" s="22" t="n">
        <f aca="false">D26*ADRate</f>
        <v>4600</v>
      </c>
      <c r="E27" s="22" t="n">
        <f aca="false">E26*ADRate</f>
        <v>2760</v>
      </c>
      <c r="F27" s="22" t="n">
        <f aca="false">F26*ADRate</f>
        <v>1656</v>
      </c>
      <c r="G27" s="22" t="n">
        <f aca="false">G26*ADRate</f>
        <v>993.6</v>
      </c>
      <c r="H27" s="22" t="n">
        <f aca="false">H26*ADRate</f>
        <v>596.16</v>
      </c>
      <c r="I27" s="22" t="n">
        <f aca="false">I26*ADRate</f>
        <v>357.696</v>
      </c>
      <c r="J27" s="22" t="n">
        <f aca="false">J26*ADRate</f>
        <v>214.6176</v>
      </c>
      <c r="K27" s="22" t="n">
        <f aca="false">K26*ADRate</f>
        <v>128.77056</v>
      </c>
      <c r="L27" s="22" t="n">
        <f aca="false">L26*ADRate</f>
        <v>77.262336</v>
      </c>
      <c r="M27" s="22" t="n">
        <f aca="false">M26*ADRate</f>
        <v>46.3574016</v>
      </c>
      <c r="N27" s="22" t="n">
        <f aca="false">N26*ADRate</f>
        <v>27.81444096</v>
      </c>
      <c r="O27" s="22" t="n">
        <f aca="false">O26*ADRate</f>
        <v>16.688664576</v>
      </c>
      <c r="P27" s="22" t="n">
        <f aca="false">P26*ADRate</f>
        <v>10.0131987456</v>
      </c>
      <c r="Q27" s="22" t="n">
        <f aca="false">Q26*ADRate</f>
        <v>6.00791924736</v>
      </c>
      <c r="R27" s="22" t="n">
        <f aca="false">R26*ADRate</f>
        <v>3.604751548416</v>
      </c>
      <c r="S27" s="22" t="n">
        <f aca="false">S26*ADRate</f>
        <v>2.1628509290496</v>
      </c>
      <c r="T27" s="22" t="n">
        <f aca="false">T26*ADRate</f>
        <v>1.29771055742976</v>
      </c>
      <c r="U27" s="22" t="n">
        <f aca="false">U26*ADRate</f>
        <v>0.778626334457856</v>
      </c>
      <c r="V27" s="22" t="n">
        <f aca="false">V26*ADRate</f>
        <v>0.467175800674713</v>
      </c>
      <c r="W27" s="22" t="n">
        <f aca="false">W26*ADRate</f>
        <v>0.280305480404828</v>
      </c>
      <c r="X27" s="22" t="n">
        <f aca="false">X26*ADRate</f>
        <v>0.168183288242897</v>
      </c>
      <c r="Y27" s="22" t="n">
        <f aca="false">Y26*ADRate</f>
        <v>0.100909972945738</v>
      </c>
      <c r="Z27" s="22" t="n">
        <f aca="false">Z26*ADRate</f>
        <v>0.0605459837674429</v>
      </c>
      <c r="AA27" s="22" t="n">
        <f aca="false">AA26*ADRate</f>
        <v>0.0363275902604657</v>
      </c>
      <c r="AB27" s="22" t="n">
        <f aca="false">AB26*ADRate</f>
        <v>0.0217965541562794</v>
      </c>
    </row>
    <row r="28" customFormat="false" ht="15" hidden="false" customHeight="false" outlineLevel="0" collapsed="false">
      <c r="A28" s="4" t="s">
        <v>471</v>
      </c>
      <c r="C28" s="36" t="n">
        <f aca="false">C23</f>
        <v>-11478</v>
      </c>
      <c r="D28" s="36" t="n">
        <f aca="false">(D20+D21+D22)*(1-TaxRate)+D27*TaxRate</f>
        <v>2692.20915</v>
      </c>
      <c r="E28" s="36" t="n">
        <f aca="false">(E20+E21+E22)*(1-TaxRate)+E27*TaxRate</f>
        <v>2260.842982956</v>
      </c>
      <c r="F28" s="36" t="n">
        <f aca="false">(F20+F21+F22)*(1-TaxRate)+F27*TaxRate</f>
        <v>2015.29152329644</v>
      </c>
      <c r="G28" s="36" t="n">
        <f aca="false">(G20+G21+G22)*(1-TaxRate)+G27*TaxRate</f>
        <v>1881.45911611519</v>
      </c>
      <c r="H28" s="36" t="n">
        <f aca="false">(H20+H21+H22)*(1-TaxRate)+H27*TaxRate</f>
        <v>1814.89000760801</v>
      </c>
      <c r="I28" s="36" t="n">
        <f aca="false">(I20+I21+I22)*(1-TaxRate)+I27*TaxRate</f>
        <v>1788.91224159995</v>
      </c>
      <c r="J28" s="36" t="n">
        <f aca="false">(J20+J21+J22)*(1-TaxRate)+J27*TaxRate</f>
        <v>1787.52398518258</v>
      </c>
      <c r="K28" s="36" t="n">
        <f aca="false">(K20+K21+K22)*(1-TaxRate)+K27*TaxRate</f>
        <v>1801.12531108655</v>
      </c>
      <c r="L28" s="36" t="n">
        <f aca="false">(L20+L21+L22)*(1-TaxRate)+L27*TaxRate</f>
        <v>1823.95725332511</v>
      </c>
      <c r="M28" s="36" t="n">
        <f aca="false">(M20+M21+M22)*(1-TaxRate)+M27*TaxRate</f>
        <v>1852.56522598912</v>
      </c>
      <c r="N28" s="36" t="n">
        <f aca="false">(N20+N21+N22)*(1-TaxRate)+N27*TaxRate</f>
        <v>1884.87705907831</v>
      </c>
      <c r="O28" s="36" t="n">
        <f aca="false">(O20+O21+O22)*(1-TaxRate)+O27*TaxRate</f>
        <v>1059.59265884623</v>
      </c>
      <c r="P28" s="36" t="n">
        <f aca="false">(P20+P21+P22)*(1-TaxRate)+P27*TaxRate</f>
        <v>1956.13779763747</v>
      </c>
      <c r="Q28" s="36" t="n">
        <f aca="false">(Q20+Q21+Q22)*(1-TaxRate)+Q27*TaxRate</f>
        <v>1993.89348699477</v>
      </c>
      <c r="R28" s="36" t="n">
        <f aca="false">(R20+R21+R22)*(1-TaxRate)+R27*TaxRate</f>
        <v>2032.64789910589</v>
      </c>
      <c r="S28" s="36" t="n">
        <f aca="false">(S20+S21+S22)*(1-TaxRate)+S27*TaxRate</f>
        <v>2072.2389063337</v>
      </c>
      <c r="T28" s="36" t="n">
        <f aca="false">(T20+T21+T22)*(1-TaxRate)+T27*TaxRate</f>
        <v>2112.56816254913</v>
      </c>
      <c r="U28" s="36" t="n">
        <f aca="false">(U20+U21+U22)*(1-TaxRate)+U27*TaxRate</f>
        <v>2153.57524220222</v>
      </c>
      <c r="V28" s="36" t="n">
        <f aca="false">(V20+V21+V22)*(1-TaxRate)+V27*TaxRate</f>
        <v>2195.22209962894</v>
      </c>
      <c r="W28" s="36" t="n">
        <f aca="false">(W20+W21+W22)*(1-TaxRate)+W27*TaxRate</f>
        <v>2237.48371913942</v>
      </c>
      <c r="X28" s="36" t="n">
        <f aca="false">(X20+X21+X22)*(1-TaxRate)+X27*TaxRate</f>
        <v>0.0423317336507371</v>
      </c>
      <c r="Y28" s="36" t="n">
        <f aca="false">(Y20+Y21+Y22)*(1-TaxRate)+Y27*TaxRate</f>
        <v>0.0253990401904423</v>
      </c>
      <c r="Z28" s="36" t="n">
        <f aca="false">(Z20+Z21+Z22)*(1-TaxRate)+Z27*TaxRate</f>
        <v>0.0152394241142654</v>
      </c>
      <c r="AA28" s="36" t="n">
        <f aca="false">(AA20+AA21+AA22)*(1-TaxRate)+AA27*TaxRate</f>
        <v>0.00914365446855922</v>
      </c>
      <c r="AB28" s="36" t="n">
        <f aca="false">(AB20+AB21+AB22)*(1-TaxRate)+AB27*TaxRate</f>
        <v>0.00548619268113553</v>
      </c>
      <c r="AC28" s="36" t="n">
        <f aca="false">SUMPRODUCT(C28:AB28,C$16:AB$16)</f>
        <v>5543.45714618457</v>
      </c>
    </row>
    <row r="30" customFormat="false" ht="18" hidden="false" customHeight="true" outlineLevel="0" collapsed="false">
      <c r="A30" s="6" t="s">
        <v>472</v>
      </c>
      <c r="B30" s="7"/>
      <c r="C30" s="7"/>
      <c r="D30" s="7"/>
    </row>
    <row r="31" customFormat="false" ht="15" hidden="false" customHeight="false" outlineLevel="0" collapsed="false">
      <c r="A31" s="12" t="s">
        <v>27</v>
      </c>
      <c r="B31" s="43" t="n">
        <f aca="false">D20</f>
        <v>2208</v>
      </c>
    </row>
    <row r="32" customFormat="false" ht="15" hidden="false" customHeight="false" outlineLevel="0" collapsed="false">
      <c r="A32" s="12" t="s">
        <v>473</v>
      </c>
      <c r="B32" s="51" t="n">
        <f aca="false">D18</f>
        <v>184</v>
      </c>
    </row>
    <row r="33" customFormat="false" ht="15" hidden="false" customHeight="false" outlineLevel="0" collapsed="false">
      <c r="A33" s="12" t="s">
        <v>474</v>
      </c>
      <c r="B33" s="43" t="n">
        <f aca="false">AC24</f>
        <v>8174.30222345172</v>
      </c>
    </row>
    <row r="34" customFormat="false" ht="15" hidden="false" customHeight="false" outlineLevel="0" collapsed="false">
      <c r="A34" s="4" t="s">
        <v>475</v>
      </c>
      <c r="B34" s="35" t="n">
        <f aca="false">IFERROR(IRR(C24:AB24),"n/a")</f>
        <v>0.188477953582858</v>
      </c>
    </row>
    <row r="35" customFormat="false" ht="15" hidden="false" customHeight="false" outlineLevel="0" collapsed="false">
      <c r="A35" s="4" t="s">
        <v>476</v>
      </c>
      <c r="B35" s="35" t="n">
        <f aca="false">IFERROR(IRR(C28:AB28),"n/a")</f>
        <v>0.170265915918069</v>
      </c>
    </row>
    <row r="36" customFormat="false" ht="15" hidden="false" customHeight="false" outlineLevel="0" collapsed="false">
      <c r="A36" s="4" t="s">
        <v>15</v>
      </c>
      <c r="B36" s="57" t="n">
        <f aca="false">IF(COUNTIF(D25:AB25,"&lt;0")&gt;=25,"&gt; 25",COUNTIF(D25:AB25,"&lt;0")+(-INDEX(C25:AB25,COUNTIF(D25:AB25,"&lt;0")+1))/INDEX(C24:AB24,COUNTIF(D25:AB25,"&lt;0")+2))</f>
        <v>5.34950341204973</v>
      </c>
    </row>
    <row r="37" customFormat="false" ht="15" hidden="false" customHeight="false" outlineLevel="0" collapsed="false">
      <c r="A37" s="12" t="s">
        <v>477</v>
      </c>
      <c r="B37" s="59" t="n">
        <f aca="false">(WkSolarPart-AC21-AC22)/AC18</f>
        <v>9.19780238004495</v>
      </c>
    </row>
    <row r="38" customFormat="false" ht="15" hidden="false" customHeight="false" outlineLevel="0" collapsed="false">
      <c r="A38" s="12" t="s">
        <v>478</v>
      </c>
      <c r="B38" s="22" t="n">
        <f aca="false">SUM(C18:AB18)</f>
        <v>3445.2591935735</v>
      </c>
    </row>
    <row r="40" customFormat="false" ht="18" hidden="false" customHeight="true" outlineLevel="0" collapsed="false">
      <c r="A40" s="6" t="s">
        <v>479</v>
      </c>
      <c r="B40" s="7"/>
      <c r="C40" s="7"/>
      <c r="D40" s="7"/>
    </row>
    <row r="41" customFormat="false" ht="35.05" hidden="false" customHeight="false" outlineLevel="0" collapsed="false">
      <c r="A41" s="8" t="s">
        <v>453</v>
      </c>
      <c r="B41" s="9" t="s">
        <v>480</v>
      </c>
      <c r="C41" s="9" t="s">
        <v>481</v>
      </c>
      <c r="D41" s="9"/>
    </row>
    <row r="42" customFormat="false" ht="15" hidden="false" customHeight="false" outlineLevel="0" collapsed="false">
      <c r="A42" s="12" t="s">
        <v>482</v>
      </c>
      <c r="B42" s="43" t="n">
        <f aca="false">WkKWp*WkYieldJam*WkYieldMult*TariffJam-WkOM</f>
        <v>1410</v>
      </c>
      <c r="C42" s="60" t="n">
        <f aca="false">WkInc/B42</f>
        <v>8.14042553191489</v>
      </c>
    </row>
    <row r="43" customFormat="false" ht="15" hidden="false" customHeight="false" outlineLevel="0" collapsed="false">
      <c r="A43" s="12" t="s">
        <v>231</v>
      </c>
      <c r="B43" s="43" t="n">
        <f aca="false">WkKWp*WkYieldMum*WkYieldMult*TariffMum-WkOM</f>
        <v>2058</v>
      </c>
      <c r="C43" s="60" t="n">
        <f aca="false">WkInc/B43</f>
        <v>5.57725947521866</v>
      </c>
    </row>
    <row r="45" customFormat="false" ht="18" hidden="false" customHeight="true" outlineLevel="0" collapsed="false">
      <c r="A45" s="6" t="s">
        <v>483</v>
      </c>
      <c r="B45" s="7"/>
      <c r="C45" s="7"/>
      <c r="D45" s="7"/>
    </row>
    <row r="46" customFormat="false" ht="15" hidden="false" customHeight="false" outlineLevel="0" collapsed="false">
      <c r="A46" s="12" t="s">
        <v>484</v>
      </c>
      <c r="B46" s="42" t="n">
        <f aca="false">WkPerKWp</f>
        <v>71875</v>
      </c>
    </row>
    <row r="47" customFormat="false" ht="15" hidden="false" customHeight="false" outlineLevel="0" collapsed="false">
      <c r="A47" s="12" t="s">
        <v>485</v>
      </c>
      <c r="B47" s="42" t="n">
        <f aca="false">RooftopCost</f>
        <v>40000</v>
      </c>
    </row>
    <row r="48" customFormat="false" ht="15" hidden="false" customHeight="false" outlineLevel="0" collapsed="false">
      <c r="A48" s="12" t="s">
        <v>486</v>
      </c>
      <c r="B48" s="42" t="n">
        <f aca="false">CarportCost</f>
        <v>50000</v>
      </c>
    </row>
    <row r="49" customFormat="false" ht="15" hidden="false" customHeight="false" outlineLevel="0" collapsed="false">
      <c r="A49" s="3" t="s">
        <v>487</v>
      </c>
    </row>
    <row r="51" customFormat="false" ht="18" hidden="false" customHeight="true" outlineLevel="0" collapsed="false">
      <c r="A51" s="6" t="s">
        <v>488</v>
      </c>
      <c r="B51" s="7"/>
      <c r="C51" s="7"/>
      <c r="D51" s="7"/>
    </row>
    <row r="52" customFormat="false" ht="15" hidden="false" customHeight="false" outlineLevel="0" collapsed="false">
      <c r="A52" s="12" t="s">
        <v>489</v>
      </c>
      <c r="B52" s="22" t="n">
        <f aca="false">PilotWalk</f>
        <v>50</v>
      </c>
    </row>
    <row r="53" customFormat="false" ht="15" hidden="false" customHeight="false" outlineLevel="0" collapsed="false">
      <c r="A53" s="12" t="s">
        <v>490</v>
      </c>
      <c r="B53" s="51" t="n">
        <f aca="false">PilotWalk*WkKWp</f>
        <v>8</v>
      </c>
    </row>
    <row r="54" customFormat="false" ht="15" hidden="false" customHeight="false" outlineLevel="0" collapsed="false">
      <c r="A54" s="12" t="s">
        <v>491</v>
      </c>
      <c r="B54" s="22" t="n">
        <f aca="false">PilotWalk*Wk_Gen1</f>
        <v>9200</v>
      </c>
    </row>
    <row r="55" customFormat="false" ht="15" hidden="false" customHeight="false" outlineLevel="0" collapsed="false">
      <c r="A55" s="12" t="s">
        <v>492</v>
      </c>
      <c r="B55" s="43" t="n">
        <f aca="false">PilotWalk*Wk_Save1</f>
        <v>110400</v>
      </c>
    </row>
    <row r="56" customFormat="false" ht="15" hidden="false" customHeight="false" outlineLevel="0" collapsed="false">
      <c r="A56" s="12" t="s">
        <v>493</v>
      </c>
      <c r="B56" s="43" t="n">
        <f aca="false">PilotWalk*WkTotal</f>
        <v>628900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9" t="s">
        <v>494</v>
      </c>
    </row>
    <row r="2" customFormat="false" ht="15" hidden="false" customHeight="false" outlineLevel="0" collapsed="false">
      <c r="A2" s="20" t="s">
        <v>495</v>
      </c>
    </row>
    <row r="4" customFormat="false" ht="15" hidden="false" customHeight="false" outlineLevel="0" collapsed="false">
      <c r="A4" s="8" t="s">
        <v>6</v>
      </c>
      <c r="B4" s="9" t="s">
        <v>496</v>
      </c>
      <c r="C4" s="9" t="s">
        <v>497</v>
      </c>
      <c r="D4" s="9" t="s">
        <v>303</v>
      </c>
    </row>
    <row r="5" customFormat="false" ht="15" hidden="false" customHeight="false" outlineLevel="0" collapsed="false">
      <c r="A5" s="12" t="s">
        <v>498</v>
      </c>
      <c r="B5" s="22" t="n">
        <f aca="false">Park_PP</f>
        <v>326.7</v>
      </c>
      <c r="C5" s="51" t="n">
        <f aca="false">((PilotMainKm*1000*MainWidth)+(PilotTrackKm*1000*TrackWidth))*PlasticHD/1000+PilotWalk*PlasticLW/1000</f>
        <v>33.86</v>
      </c>
      <c r="D5" s="3" t="s">
        <v>499</v>
      </c>
    </row>
    <row r="6" customFormat="false" ht="15" hidden="false" customHeight="false" outlineLevel="0" collapsed="false">
      <c r="A6" s="12" t="s">
        <v>421</v>
      </c>
      <c r="B6" s="22" t="n">
        <f aca="false">'Solar Park 100MW'!AC29</f>
        <v>904.185</v>
      </c>
      <c r="C6" s="51" t="n">
        <f aca="false">((PilotMainKm*1000*MainWidth)+(PilotTrackKm*1000*TrackWidth))*PlasticHD*PPCredit/1000+(PilotMainKm*1000*MainWidth)*IF(MainBaseline="PQC",(PQC_Cement-S1_Cement)*CementEF,BT_Binder*BitumenEF+BT_Mix*HotMixEF-S1_Cement*CementEF)/1000</f>
        <v>61.302</v>
      </c>
      <c r="D6" s="3" t="s">
        <v>500</v>
      </c>
    </row>
    <row r="7" customFormat="false" ht="15" hidden="false" customHeight="false" outlineLevel="0" collapsed="false">
      <c r="A7" s="12" t="s">
        <v>422</v>
      </c>
      <c r="B7" s="22" t="n">
        <f aca="false">'Solar Park 100MW'!AC30</f>
        <v>9968.82461640807</v>
      </c>
      <c r="C7" s="51" t="n">
        <f aca="false">PW_kWh*WkLife*GridEF/1000</f>
        <v>130.64</v>
      </c>
      <c r="D7" s="3" t="s">
        <v>501</v>
      </c>
    </row>
    <row r="8" customFormat="false" ht="15" hidden="false" customHeight="false" outlineLevel="0" collapsed="false">
      <c r="A8" s="4" t="s">
        <v>502</v>
      </c>
      <c r="B8" s="36" t="n">
        <f aca="false">B6+B7</f>
        <v>10873.0096164081</v>
      </c>
      <c r="C8" s="53" t="n">
        <f aca="false">C6+C7</f>
        <v>191.942</v>
      </c>
      <c r="D8" s="3"/>
    </row>
    <row r="9" customFormat="false" ht="15" hidden="false" customHeight="false" outlineLevel="0" collapsed="false">
      <c r="A9" s="12" t="s">
        <v>503</v>
      </c>
      <c r="B9" s="22" t="n">
        <f aca="false">Park_MWh</f>
        <v>14040.598051279</v>
      </c>
      <c r="C9" s="51" t="n">
        <f aca="false">PW_kWh*WkLife/1000</f>
        <v>184</v>
      </c>
      <c r="D9" s="3" t="s">
        <v>504</v>
      </c>
    </row>
    <row r="10" customFormat="false" ht="15" hidden="false" customHeight="false" outlineLevel="0" collapsed="false">
      <c r="A10" s="12" t="s">
        <v>505</v>
      </c>
      <c r="B10" s="22" t="n">
        <f aca="false">TrackArea*DustWater*DustDays*DustYears*DustCutS2/1000</f>
        <v>8820</v>
      </c>
      <c r="C10" s="51" t="n">
        <f aca="false">(PilotTrackKm*1000*TrackWidth)*DustWater*DustDays*DustYears*DustCutS2/1000</f>
        <v>756</v>
      </c>
      <c r="D10" s="3" t="s">
        <v>506</v>
      </c>
    </row>
    <row r="11" customFormat="false" ht="15" hidden="false" customHeight="false" outlineLevel="0" collapsed="false">
      <c r="A11" s="12" t="s">
        <v>507</v>
      </c>
      <c r="B11" s="22" t="n">
        <f aca="false">TrackArea*Rainfall/1000*Infiltr</f>
        <v>11340</v>
      </c>
      <c r="C11" s="51" t="n">
        <f aca="false">(PilotTrackKm*1000*TrackWidth)*Rainfall/1000*Infiltr</f>
        <v>972</v>
      </c>
      <c r="D11" s="3" t="s">
        <v>508</v>
      </c>
    </row>
    <row r="12" customFormat="false" ht="15" hidden="false" customHeight="false" outlineLevel="0" collapsed="false">
      <c r="A12" s="12" t="s">
        <v>509</v>
      </c>
      <c r="B12" s="22" t="n">
        <f aca="false">MainArea*(PQC_Cement-S1_Cement)/1000</f>
        <v>1553.4</v>
      </c>
      <c r="C12" s="51" t="n">
        <f aca="false">(PilotMainKm*1000*MainWidth)*(PQC_Cement-S1_Cement)/1000</f>
        <v>207.12</v>
      </c>
      <c r="D12" s="3" t="s">
        <v>510</v>
      </c>
    </row>
    <row r="15" customFormat="false" ht="15" hidden="false" customHeight="true" outlineLevel="0" collapsed="false">
      <c r="A15" s="61" t="s">
        <v>511</v>
      </c>
      <c r="B15" s="61"/>
      <c r="C15" s="61"/>
      <c r="D15" s="61"/>
    </row>
    <row r="16" customFormat="false" ht="15" hidden="false" customHeight="false" outlineLevel="0" collapsed="false">
      <c r="A16" s="61"/>
      <c r="B16" s="61"/>
      <c r="C16" s="61"/>
      <c r="D16" s="61"/>
    </row>
    <row r="17" customFormat="false" ht="15" hidden="false" customHeight="false" outlineLevel="0" collapsed="false">
      <c r="A17" s="61"/>
      <c r="B17" s="61"/>
      <c r="C17" s="61"/>
      <c r="D17" s="61"/>
    </row>
  </sheetData>
  <mergeCells count="1">
    <mergeCell ref="A15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2935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50"/>
  </cols>
  <sheetData>
    <row r="1" customFormat="false" ht="25.5" hidden="false" customHeight="true" outlineLevel="0" collapsed="false">
      <c r="A1" s="19" t="s">
        <v>512</v>
      </c>
    </row>
    <row r="2" customFormat="false" ht="15" hidden="false" customHeight="false" outlineLevel="0" collapsed="false">
      <c r="A2" s="20" t="s">
        <v>513</v>
      </c>
    </row>
    <row r="4" customFormat="false" ht="15" hidden="false" customHeight="false" outlineLevel="0" collapsed="false">
      <c r="A4" s="8" t="s">
        <v>300</v>
      </c>
      <c r="B4" s="9" t="s">
        <v>514</v>
      </c>
      <c r="C4" s="9" t="s">
        <v>53</v>
      </c>
      <c r="D4" s="9" t="s">
        <v>515</v>
      </c>
      <c r="E4" s="9" t="s">
        <v>516</v>
      </c>
      <c r="F4" s="9" t="s">
        <v>517</v>
      </c>
      <c r="G4" s="9" t="s">
        <v>518</v>
      </c>
      <c r="H4" s="9" t="s">
        <v>519</v>
      </c>
    </row>
    <row r="5" customFormat="false" ht="15" hidden="false" customHeight="false" outlineLevel="0" collapsed="false">
      <c r="A5" s="10" t="s">
        <v>520</v>
      </c>
    </row>
    <row r="6" customFormat="false" ht="15" hidden="false" customHeight="false" outlineLevel="0" collapsed="false">
      <c r="A6" s="12" t="s">
        <v>521</v>
      </c>
      <c r="B6" s="22" t="n">
        <f aca="false">PilotMainKm*1000*MainWidth</f>
        <v>2400</v>
      </c>
      <c r="C6" s="3" t="s">
        <v>271</v>
      </c>
      <c r="D6" s="42" t="n">
        <f aca="false">ListHD</f>
        <v>935</v>
      </c>
      <c r="E6" s="43" t="n">
        <f aca="false">B6*D6</f>
        <v>2244000</v>
      </c>
      <c r="F6" s="42" t="n">
        <f aca="false">OfferHD</f>
        <v>900</v>
      </c>
      <c r="G6" s="43" t="n">
        <f aca="false">B6*F6</f>
        <v>2160000</v>
      </c>
      <c r="H6" s="3" t="s">
        <v>522</v>
      </c>
    </row>
    <row r="7" customFormat="false" ht="15" hidden="false" customHeight="false" outlineLevel="0" collapsed="false">
      <c r="A7" s="12" t="s">
        <v>523</v>
      </c>
      <c r="B7" s="22" t="n">
        <f aca="false">PilotTrackKm*1000*TrackWidth</f>
        <v>2700</v>
      </c>
      <c r="C7" s="3" t="s">
        <v>271</v>
      </c>
      <c r="D7" s="42" t="n">
        <f aca="false">ListHD</f>
        <v>935</v>
      </c>
      <c r="E7" s="43" t="n">
        <f aca="false">B7*D7</f>
        <v>2524500</v>
      </c>
      <c r="F7" s="42" t="n">
        <f aca="false">OfferHD</f>
        <v>900</v>
      </c>
      <c r="G7" s="43" t="n">
        <f aca="false">B7*F7</f>
        <v>2430000</v>
      </c>
      <c r="H7" s="3"/>
    </row>
    <row r="8" customFormat="false" ht="15" hidden="false" customHeight="false" outlineLevel="0" collapsed="false">
      <c r="A8" s="12" t="s">
        <v>311</v>
      </c>
      <c r="B8" s="22" t="n">
        <f aca="false">B6+B7</f>
        <v>5100</v>
      </c>
      <c r="C8" s="3" t="s">
        <v>271</v>
      </c>
      <c r="D8" s="42" t="n">
        <f aca="false">Geotex</f>
        <v>55</v>
      </c>
      <c r="E8" s="43" t="n">
        <f aca="false">B8*D8</f>
        <v>280500</v>
      </c>
      <c r="F8" s="42" t="n">
        <f aca="false">Geotex</f>
        <v>55</v>
      </c>
      <c r="G8" s="43" t="n">
        <f aca="false">B8*F8</f>
        <v>280500</v>
      </c>
      <c r="H8" s="3"/>
    </row>
    <row r="9" customFormat="false" ht="15" hidden="false" customHeight="false" outlineLevel="0" collapsed="false">
      <c r="A9" s="12" t="s">
        <v>318</v>
      </c>
      <c r="B9" s="22" t="n">
        <f aca="false">ROUNDUP((B6+B7)*NailDensity,0)</f>
        <v>2040</v>
      </c>
      <c r="C9" s="3" t="s">
        <v>319</v>
      </c>
      <c r="D9" s="42" t="n">
        <f aca="false">NailPrice</f>
        <v>8</v>
      </c>
      <c r="E9" s="43" t="n">
        <f aca="false">B9*D9</f>
        <v>16320</v>
      </c>
      <c r="F9" s="42" t="n">
        <f aca="false">NailPrice</f>
        <v>8</v>
      </c>
      <c r="G9" s="43" t="n">
        <f aca="false">B9*F9</f>
        <v>16320</v>
      </c>
      <c r="H9" s="3"/>
    </row>
    <row r="10" customFormat="false" ht="15" hidden="false" customHeight="false" outlineLevel="0" collapsed="false">
      <c r="A10" s="12" t="s">
        <v>315</v>
      </c>
      <c r="B10" s="22" t="n">
        <f aca="false">B6+B7</f>
        <v>5100</v>
      </c>
      <c r="C10" s="3" t="s">
        <v>271</v>
      </c>
      <c r="D10" s="42" t="n">
        <f aca="false">Freight</f>
        <v>60</v>
      </c>
      <c r="E10" s="43" t="n">
        <f aca="false">B10*D10</f>
        <v>306000</v>
      </c>
      <c r="F10" s="42" t="n">
        <f aca="false">Freight</f>
        <v>60</v>
      </c>
      <c r="G10" s="43" t="n">
        <f aca="false">B10*F10</f>
        <v>306000</v>
      </c>
      <c r="H10" s="3" t="s">
        <v>316</v>
      </c>
    </row>
    <row r="11" customFormat="false" ht="15" hidden="false" customHeight="false" outlineLevel="0" collapsed="false">
      <c r="A11" s="12" t="s">
        <v>524</v>
      </c>
      <c r="B11" s="29" t="n">
        <v>1</v>
      </c>
      <c r="C11" s="3" t="s">
        <v>525</v>
      </c>
      <c r="D11" s="42" t="n">
        <f aca="false">DesignValue</f>
        <v>150000</v>
      </c>
      <c r="E11" s="43" t="n">
        <f aca="false">B11*D11</f>
        <v>150000</v>
      </c>
      <c r="F11" s="27" t="n">
        <v>0</v>
      </c>
      <c r="G11" s="43" t="n">
        <f aca="false">B11*F11</f>
        <v>0</v>
      </c>
      <c r="H11" s="3" t="s">
        <v>526</v>
      </c>
    </row>
    <row r="12" customFormat="false" ht="15" hidden="false" customHeight="false" outlineLevel="0" collapsed="false">
      <c r="A12" s="12" t="s">
        <v>527</v>
      </c>
      <c r="B12" s="22" t="n">
        <f aca="false">ROUNDUP((B6+B7)/LayRate,0)</f>
        <v>15</v>
      </c>
      <c r="C12" s="3" t="s">
        <v>118</v>
      </c>
      <c r="D12" s="42" t="n">
        <f aca="false">ManDay</f>
        <v>15000</v>
      </c>
      <c r="E12" s="43" t="n">
        <f aca="false">B12*D12</f>
        <v>225000</v>
      </c>
      <c r="F12" s="27" t="n">
        <v>0</v>
      </c>
      <c r="G12" s="43" t="n">
        <f aca="false">B12*F12</f>
        <v>0</v>
      </c>
      <c r="H12" s="3" t="s">
        <v>528</v>
      </c>
    </row>
    <row r="13" customFormat="false" ht="15" hidden="false" customHeight="false" outlineLevel="0" collapsed="false">
      <c r="A13" s="12" t="s">
        <v>529</v>
      </c>
      <c r="B13" s="29" t="n">
        <v>1</v>
      </c>
      <c r="C13" s="3" t="s">
        <v>525</v>
      </c>
      <c r="D13" s="42" t="n">
        <f aca="false">TravelValue</f>
        <v>75000</v>
      </c>
      <c r="E13" s="43" t="n">
        <f aca="false">B13*D13</f>
        <v>75000</v>
      </c>
      <c r="F13" s="27" t="n">
        <v>0</v>
      </c>
      <c r="G13" s="43" t="n">
        <f aca="false">B13*F13</f>
        <v>0</v>
      </c>
      <c r="H13" s="3" t="s">
        <v>530</v>
      </c>
    </row>
    <row r="14" customFormat="false" ht="15" hidden="false" customHeight="false" outlineLevel="0" collapsed="false">
      <c r="A14" s="10" t="s">
        <v>531</v>
      </c>
    </row>
    <row r="15" customFormat="false" ht="15" hidden="false" customHeight="false" outlineLevel="0" collapsed="false">
      <c r="A15" s="12" t="s">
        <v>532</v>
      </c>
      <c r="B15" s="22" t="n">
        <f aca="false">PilotWalk</f>
        <v>50</v>
      </c>
      <c r="C15" s="3" t="s">
        <v>271</v>
      </c>
      <c r="D15" s="42" t="n">
        <f aca="false">WkBase</f>
        <v>1078</v>
      </c>
      <c r="E15" s="43" t="n">
        <f aca="false">B15*D15</f>
        <v>53900</v>
      </c>
      <c r="F15" s="42" t="n">
        <f aca="false">WkBase</f>
        <v>1078</v>
      </c>
      <c r="G15" s="43" t="n">
        <f aca="false">B15*F15</f>
        <v>53900</v>
      </c>
      <c r="H15" s="3"/>
    </row>
    <row r="16" customFormat="false" ht="15" hidden="false" customHeight="false" outlineLevel="0" collapsed="false">
      <c r="A16" s="12" t="s">
        <v>533</v>
      </c>
      <c r="B16" s="22" t="n">
        <f aca="false">PilotWalk</f>
        <v>50</v>
      </c>
      <c r="C16" s="3" t="s">
        <v>271</v>
      </c>
      <c r="D16" s="42" t="n">
        <f aca="false">SolarLayer+BOS*PowerDens/1000</f>
        <v>11500</v>
      </c>
      <c r="E16" s="43" t="n">
        <f aca="false">B16*D16</f>
        <v>575000</v>
      </c>
      <c r="F16" s="42" t="n">
        <f aca="false">(SolarLayer+BOS*PowerDens/1000)*(1-CoFund)</f>
        <v>5750</v>
      </c>
      <c r="G16" s="43" t="n">
        <f aca="false">B16*F16</f>
        <v>287500</v>
      </c>
      <c r="H16" s="3" t="s">
        <v>534</v>
      </c>
    </row>
    <row r="17" customFormat="false" ht="15" hidden="false" customHeight="false" outlineLevel="0" collapsed="false">
      <c r="A17" s="10" t="s">
        <v>535</v>
      </c>
    </row>
    <row r="18" customFormat="false" ht="15" hidden="false" customHeight="false" outlineLevel="0" collapsed="false">
      <c r="A18" s="12" t="s">
        <v>536</v>
      </c>
      <c r="B18" s="29" t="n">
        <v>1</v>
      </c>
      <c r="C18" s="3" t="s">
        <v>525</v>
      </c>
      <c r="D18" s="42" t="n">
        <f aca="false">MonitorValue</f>
        <v>400000</v>
      </c>
      <c r="E18" s="43" t="n">
        <f aca="false">B18*D18</f>
        <v>400000</v>
      </c>
      <c r="F18" s="27" t="n">
        <v>0</v>
      </c>
      <c r="G18" s="43" t="n">
        <f aca="false">B18*F18</f>
        <v>0</v>
      </c>
      <c r="H18" s="3" t="s">
        <v>537</v>
      </c>
    </row>
    <row r="19" customFormat="false" ht="15" hidden="false" customHeight="false" outlineLevel="0" collapsed="false">
      <c r="A19" s="4" t="s">
        <v>538</v>
      </c>
      <c r="E19" s="45" t="n">
        <f aca="false">SUM(E5:E18)</f>
        <v>6850220</v>
      </c>
      <c r="G19" s="45" t="n">
        <f aca="false">SUM(G5:G18)</f>
        <v>5534220</v>
      </c>
    </row>
    <row r="21" customFormat="false" ht="18" hidden="false" customHeight="true" outlineLevel="0" collapsed="false">
      <c r="A21" s="6" t="s">
        <v>539</v>
      </c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4" t="s">
        <v>31</v>
      </c>
      <c r="G22" s="26" t="n">
        <f aca="false">Pilot_Offer</f>
        <v>5534220</v>
      </c>
    </row>
    <row r="23" customFormat="false" ht="15" hidden="false" customHeight="false" outlineLevel="0" collapsed="false">
      <c r="A23" s="12" t="s">
        <v>540</v>
      </c>
      <c r="G23" s="43" t="n">
        <f aca="false">Pilot_List-Pilot_Offer</f>
        <v>1316000</v>
      </c>
    </row>
    <row r="24" customFormat="false" ht="15" hidden="false" customHeight="false" outlineLevel="0" collapsed="false">
      <c r="A24" s="12" t="s">
        <v>541</v>
      </c>
      <c r="G24" s="50" t="n">
        <f aca="false">Pilot_Contrib/Pilot_List</f>
        <v>0.192110618345104</v>
      </c>
    </row>
    <row r="25" customFormat="false" ht="15" hidden="false" customHeight="false" outlineLevel="0" collapsed="false">
      <c r="A25" s="12" t="s">
        <v>542</v>
      </c>
      <c r="G25" s="50" t="n">
        <f aca="false">1-OfferHD/TrialPrice</f>
        <v>0.227467811158798</v>
      </c>
    </row>
    <row r="26" customFormat="false" ht="15" hidden="false" customHeight="false" outlineLevel="0" collapsed="false">
      <c r="A26" s="12" t="s">
        <v>543</v>
      </c>
      <c r="G26" s="43" t="n">
        <f aca="false">(PilotMainKm*1000*MainWidth)*(S1_Capex-GridHD-Geotex-Freight-NailDensity*NailPrice)+(PilotTrackKm*1000*TrackWidth)*(S2_Capex-GridHD-Geotex-Freight-NailDensity*NailPrice)+PilotWalk*(WkBase-GridLWSmall-Freight)</f>
        <v>4233710</v>
      </c>
    </row>
    <row r="27" customFormat="false" ht="15" hidden="false" customHeight="false" outlineLevel="0" collapsed="false">
      <c r="A27" s="4" t="s">
        <v>544</v>
      </c>
      <c r="G27" s="26" t="n">
        <f aca="false">Pilot_Pays+Pilot_Civil</f>
        <v>9767930</v>
      </c>
    </row>
    <row r="28" customFormat="false" ht="15" hidden="false" customHeight="false" outlineLevel="0" collapsed="false">
      <c r="A28" s="12" t="s">
        <v>545</v>
      </c>
      <c r="G28" s="22" t="n">
        <f aca="false">(PilotMainKm*1000*MainWidth)+(PilotTrackKm*1000*TrackWidth)</f>
        <v>5100</v>
      </c>
    </row>
    <row r="29" customFormat="false" ht="15" hidden="false" customHeight="false" outlineLevel="0" collapsed="false">
      <c r="A29" s="12" t="s">
        <v>546</v>
      </c>
      <c r="G29" s="22" t="n">
        <f aca="false">ROUNDUP(Pilot_RoadArea/LayRate,0)</f>
        <v>15</v>
      </c>
    </row>
    <row r="30" customFormat="false" ht="15" hidden="false" customHeight="false" outlineLevel="0" collapsed="false">
      <c r="A30" s="12" t="s">
        <v>547</v>
      </c>
      <c r="G30" s="43" t="n">
        <f aca="false">PilotCredit*(G6+G7)</f>
        <v>459000</v>
      </c>
    </row>
    <row r="31" customFormat="false" ht="15" hidden="false" customHeight="false" outlineLevel="0" collapsed="false">
      <c r="A31" s="12" t="s">
        <v>548</v>
      </c>
      <c r="G31" s="43" t="n">
        <f aca="false">Pilot_Pays-Pilot_Credit</f>
        <v>5075220</v>
      </c>
    </row>
    <row r="32" customFormat="false" ht="15" hidden="false" customHeight="false" outlineLevel="0" collapsed="false">
      <c r="A32" s="12" t="s">
        <v>549</v>
      </c>
      <c r="G32" s="43" t="n">
        <f aca="false">OfferHD</f>
        <v>900</v>
      </c>
    </row>
    <row r="33" customFormat="false" ht="15" hidden="false" customHeight="false" outlineLevel="0" collapsed="false">
      <c r="A33" s="12" t="s">
        <v>550</v>
      </c>
      <c r="G33" s="43" t="n">
        <f aca="false">(PilotMainKm*1000*MainWidth)*IF(MainBaseline="PQC",Save_S1_PQC,Save_S1_BT)+(PilotTrackKm*1000*TrackWidth)*Save_S2_WBM</f>
        <v>2772069.98085438</v>
      </c>
    </row>
    <row r="35" customFormat="false" ht="18" hidden="false" customHeight="true" outlineLevel="0" collapsed="false">
      <c r="A35" s="6" t="s">
        <v>551</v>
      </c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12" t="s">
        <v>552</v>
      </c>
      <c r="B36" s="3" t="s">
        <v>553</v>
      </c>
    </row>
    <row r="37" customFormat="false" ht="15" hidden="false" customHeight="false" outlineLevel="0" collapsed="false">
      <c r="A37" s="12" t="s">
        <v>554</v>
      </c>
      <c r="B37" s="3" t="s">
        <v>555</v>
      </c>
    </row>
    <row r="38" customFormat="false" ht="15" hidden="false" customHeight="false" outlineLevel="0" collapsed="false">
      <c r="A38" s="12" t="s">
        <v>556</v>
      </c>
      <c r="B38" s="3" t="s">
        <v>557</v>
      </c>
    </row>
    <row r="39" customFormat="false" ht="15" hidden="false" customHeight="false" outlineLevel="0" collapsed="false">
      <c r="A39" s="12" t="s">
        <v>558</v>
      </c>
      <c r="B39" s="3" t="s">
        <v>559</v>
      </c>
    </row>
    <row r="40" customFormat="false" ht="15" hidden="false" customHeight="false" outlineLevel="0" collapsed="false">
      <c r="A40" s="12" t="s">
        <v>560</v>
      </c>
      <c r="B40" s="3" t="s">
        <v>561</v>
      </c>
    </row>
    <row r="41" customFormat="false" ht="15" hidden="false" customHeight="false" outlineLevel="0" collapsed="false">
      <c r="A41" s="12" t="s">
        <v>562</v>
      </c>
      <c r="B41" s="3" t="s">
        <v>563</v>
      </c>
    </row>
    <row r="42" customFormat="false" ht="15" hidden="false" customHeight="false" outlineLevel="0" collapsed="false">
      <c r="A42" s="12" t="s">
        <v>564</v>
      </c>
      <c r="B42" s="3" t="s">
        <v>565</v>
      </c>
    </row>
    <row r="43" customFormat="false" ht="15" hidden="false" customHeight="false" outlineLevel="0" collapsed="false">
      <c r="A43" s="12" t="s">
        <v>566</v>
      </c>
      <c r="B43" s="3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9" t="s">
        <v>568</v>
      </c>
    </row>
    <row r="2" customFormat="false" ht="15" hidden="false" customHeight="false" outlineLevel="0" collapsed="false">
      <c r="A2" s="20" t="s">
        <v>569</v>
      </c>
    </row>
    <row r="4" customFormat="false" ht="15" hidden="false" customHeight="false" outlineLevel="0" collapsed="false">
      <c r="A4" s="8" t="s">
        <v>6</v>
      </c>
      <c r="B4" s="9" t="s">
        <v>570</v>
      </c>
      <c r="C4" s="9" t="s">
        <v>571</v>
      </c>
      <c r="D4" s="9" t="s">
        <v>572</v>
      </c>
      <c r="E4" s="9" t="s">
        <v>573</v>
      </c>
      <c r="F4" s="9" t="s">
        <v>574</v>
      </c>
    </row>
    <row r="5" customFormat="false" ht="15" hidden="false" customHeight="false" outlineLevel="0" collapsed="false">
      <c r="A5" s="4" t="s">
        <v>575</v>
      </c>
      <c r="B5" s="17" t="n">
        <f aca="false">BlockMWp</f>
        <v>100</v>
      </c>
      <c r="C5" s="62" t="n">
        <v>1000</v>
      </c>
      <c r="D5" s="62" t="n">
        <v>5000</v>
      </c>
      <c r="E5" s="62" t="n">
        <v>20000</v>
      </c>
    </row>
    <row r="6" customFormat="false" ht="15" hidden="false" customHeight="false" outlineLevel="0" collapsed="false">
      <c r="A6" s="12" t="s">
        <v>576</v>
      </c>
      <c r="B6" s="22" t="n">
        <f aca="false">B$5/100*RoadKm</f>
        <v>10</v>
      </c>
      <c r="C6" s="22" t="n">
        <f aca="false">C$5/100*RoadKm</f>
        <v>100</v>
      </c>
      <c r="D6" s="22" t="n">
        <f aca="false">D$5/100*RoadKm</f>
        <v>500</v>
      </c>
      <c r="E6" s="22" t="n">
        <f aca="false">E$5/100*RoadKm</f>
        <v>2000</v>
      </c>
    </row>
    <row r="7" customFormat="false" ht="15" hidden="false" customHeight="false" outlineLevel="0" collapsed="false">
      <c r="A7" s="12" t="s">
        <v>577</v>
      </c>
      <c r="B7" s="22" t="n">
        <f aca="false">B$5/BlockMWp*ParkArea</f>
        <v>49500</v>
      </c>
      <c r="C7" s="22" t="n">
        <f aca="false">C$5/BlockMWp*ParkArea</f>
        <v>495000</v>
      </c>
      <c r="D7" s="22" t="n">
        <f aca="false">D$5/BlockMWp*ParkArea</f>
        <v>2475000</v>
      </c>
      <c r="E7" s="22" t="n">
        <f aca="false">E$5/BlockMWp*ParkArea</f>
        <v>9900000</v>
      </c>
    </row>
    <row r="8" customFormat="false" ht="15" hidden="false" customHeight="false" outlineLevel="0" collapsed="false">
      <c r="A8" s="12" t="s">
        <v>12</v>
      </c>
      <c r="B8" s="56" t="n">
        <f aca="false">B$5/BlockMWp*Park_Premium</f>
        <v>3.459285</v>
      </c>
      <c r="C8" s="56" t="n">
        <f aca="false">C$5/BlockMWp*Park_Premium</f>
        <v>34.59285</v>
      </c>
      <c r="D8" s="56" t="n">
        <f aca="false">D$5/BlockMWp*Park_Premium</f>
        <v>172.96425</v>
      </c>
      <c r="E8" s="56" t="n">
        <f aca="false">E$5/BlockMWp*Park_Premium</f>
        <v>691.857</v>
      </c>
    </row>
    <row r="9" customFormat="false" ht="15" hidden="false" customHeight="false" outlineLevel="0" collapsed="false">
      <c r="A9" s="4" t="s">
        <v>10</v>
      </c>
      <c r="B9" s="54" t="n">
        <f aca="false">B$5/BlockMWp*Park_NPV</f>
        <v>4.09490283880634</v>
      </c>
      <c r="C9" s="54" t="n">
        <f aca="false">C$5/BlockMWp*Park_NPV</f>
        <v>40.9490283880634</v>
      </c>
      <c r="D9" s="54" t="n">
        <f aca="false">D$5/BlockMWp*Park_NPV</f>
        <v>204.745141940317</v>
      </c>
      <c r="E9" s="54" t="n">
        <f aca="false">E$5/BlockMWp*Park_NPV</f>
        <v>818.980567761269</v>
      </c>
    </row>
    <row r="10" customFormat="false" ht="15" hidden="false" customHeight="false" outlineLevel="0" collapsed="false">
      <c r="A10" s="12" t="s">
        <v>578</v>
      </c>
      <c r="B10" s="56" t="n">
        <f aca="false">B$5/BlockMWp*Park_UpkeepNom</f>
        <v>19.3435990808753</v>
      </c>
      <c r="C10" s="56" t="n">
        <f aca="false">C$5/BlockMWp*Park_UpkeepNom</f>
        <v>193.435990808753</v>
      </c>
      <c r="D10" s="56" t="n">
        <f aca="false">D$5/BlockMWp*Park_UpkeepNom</f>
        <v>967.179954043767</v>
      </c>
      <c r="E10" s="56" t="n">
        <f aca="false">E$5/BlockMWp*Park_UpkeepNom</f>
        <v>3868.71981617507</v>
      </c>
    </row>
    <row r="11" customFormat="false" ht="15" hidden="false" customHeight="false" outlineLevel="0" collapsed="false">
      <c r="A11" s="12" t="s">
        <v>579</v>
      </c>
      <c r="B11" s="51" t="n">
        <f aca="false">B$5/BlockMWp*Park_MWh/1000</f>
        <v>14.040598051279</v>
      </c>
      <c r="C11" s="51" t="n">
        <f aca="false">C$5/BlockMWp*Park_MWh/1000</f>
        <v>140.40598051279</v>
      </c>
      <c r="D11" s="51" t="n">
        <f aca="false">D$5/BlockMWp*Park_MWh/1000</f>
        <v>702.029902563949</v>
      </c>
      <c r="E11" s="51" t="n">
        <f aca="false">E$5/BlockMWp*Park_MWh/1000</f>
        <v>2808.1196102558</v>
      </c>
    </row>
    <row r="12" customFormat="false" ht="15" hidden="false" customHeight="false" outlineLevel="0" collapsed="false">
      <c r="A12" s="12" t="s">
        <v>36</v>
      </c>
      <c r="B12" s="22" t="n">
        <f aca="false">B$5/BlockMWp*Park_PP</f>
        <v>326.7</v>
      </c>
      <c r="C12" s="22" t="n">
        <f aca="false">C$5/BlockMWp*Park_PP</f>
        <v>3267</v>
      </c>
      <c r="D12" s="22" t="n">
        <f aca="false">D$5/BlockMWp*Park_PP</f>
        <v>16335</v>
      </c>
      <c r="E12" s="22" t="n">
        <f aca="false">E$5/BlockMWp*Park_PP</f>
        <v>65340</v>
      </c>
    </row>
    <row r="13" customFormat="false" ht="15" hidden="false" customHeight="false" outlineLevel="0" collapsed="false">
      <c r="A13" s="12" t="s">
        <v>38</v>
      </c>
      <c r="B13" s="22" t="n">
        <f aca="false">B$5/BlockMWp*Park_CO2</f>
        <v>10873.0096164081</v>
      </c>
      <c r="C13" s="22" t="n">
        <f aca="false">C$5/BlockMWp*Park_CO2</f>
        <v>108730.096164081</v>
      </c>
      <c r="D13" s="22" t="n">
        <f aca="false">D$5/BlockMWp*Park_CO2</f>
        <v>543650.480820404</v>
      </c>
      <c r="E13" s="22" t="n">
        <f aca="false">E$5/BlockMWp*Park_CO2</f>
        <v>2174601.92328161</v>
      </c>
    </row>
    <row r="14" customFormat="false" ht="15" hidden="false" customHeight="false" outlineLevel="0" collapsed="false">
      <c r="A14" s="12" t="s">
        <v>580</v>
      </c>
      <c r="B14" s="22" t="n">
        <f aca="false">ROUNDUP(B$5/BlockMWp*ParkArea/ContainerM2,0)</f>
        <v>45</v>
      </c>
      <c r="C14" s="22" t="n">
        <f aca="false">ROUNDUP(C$5/BlockMWp*ParkArea/ContainerM2,0)</f>
        <v>450</v>
      </c>
      <c r="D14" s="22" t="n">
        <f aca="false">ROUNDUP(D$5/BlockMWp*ParkArea/ContainerM2,0)</f>
        <v>2250</v>
      </c>
      <c r="E14" s="22" t="n">
        <f aca="false">ROUNDUP(E$5/BlockMWp*ParkArea/ContainerM2,0)</f>
        <v>9000</v>
      </c>
    </row>
    <row r="17" customFormat="false" ht="18" hidden="false" customHeight="true" outlineLevel="0" collapsed="false">
      <c r="A17" s="6" t="s">
        <v>581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8" t="s">
        <v>582</v>
      </c>
      <c r="B18" s="9" t="s">
        <v>489</v>
      </c>
      <c r="C18" s="9" t="s">
        <v>583</v>
      </c>
      <c r="D18" s="9" t="s">
        <v>584</v>
      </c>
      <c r="E18" s="9" t="s">
        <v>585</v>
      </c>
      <c r="F18" s="9" t="s">
        <v>303</v>
      </c>
    </row>
    <row r="19" customFormat="false" ht="15" hidden="false" customHeight="false" outlineLevel="0" collapsed="false">
      <c r="A19" s="12" t="s">
        <v>586</v>
      </c>
      <c r="B19" s="29" t="n">
        <v>10000</v>
      </c>
      <c r="C19" s="63" t="n">
        <f aca="false">B19*WkKWp/1000</f>
        <v>1.6</v>
      </c>
      <c r="D19" s="22" t="n">
        <f aca="false">B19*WkKWp*WkYieldJam*WkYieldMult/1000</f>
        <v>2080</v>
      </c>
      <c r="E19" s="63" t="n">
        <f aca="false">D19*1000*TariffJam/10000000</f>
        <v>1.56</v>
      </c>
      <c r="F19" s="3" t="s">
        <v>587</v>
      </c>
    </row>
    <row r="20" customFormat="false" ht="15" hidden="false" customHeight="false" outlineLevel="0" collapsed="false">
      <c r="A20" s="12" t="s">
        <v>588</v>
      </c>
      <c r="B20" s="29" t="n">
        <v>5000</v>
      </c>
      <c r="C20" s="63" t="n">
        <f aca="false">B20*WkKWp/1000</f>
        <v>0.8</v>
      </c>
      <c r="D20" s="22" t="n">
        <f aca="false">B20*WkKWp*WkYieldMum*WkYieldMult/1000</f>
        <v>920</v>
      </c>
      <c r="E20" s="63" t="n">
        <f aca="false">D20*1000*TariffMum/10000000</f>
        <v>1.104</v>
      </c>
      <c r="F20" s="3" t="s">
        <v>589</v>
      </c>
    </row>
    <row r="21" customFormat="false" ht="15" hidden="false" customHeight="false" outlineLevel="0" collapsed="false">
      <c r="A21" s="12" t="s">
        <v>590</v>
      </c>
      <c r="B21" s="29" t="n">
        <v>20000</v>
      </c>
      <c r="C21" s="63" t="n">
        <f aca="false">B21*WkKWp/1000</f>
        <v>3.2</v>
      </c>
      <c r="D21" s="22" t="n">
        <f aca="false">B21*WkKWp*WkYieldJam*WkYieldMult/1000</f>
        <v>4160</v>
      </c>
      <c r="E21" s="63" t="n">
        <f aca="false">D21*1000*TariffJam/10000000</f>
        <v>3.12</v>
      </c>
      <c r="F21" s="3" t="s">
        <v>591</v>
      </c>
    </row>
    <row r="22" customFormat="false" ht="15" hidden="false" customHeight="false" outlineLevel="0" collapsed="false">
      <c r="A22" s="4" t="s">
        <v>369</v>
      </c>
      <c r="B22" s="36" t="n">
        <f aca="false">SUM(B19:B21)</f>
        <v>35000</v>
      </c>
      <c r="C22" s="39" t="n">
        <f aca="false">SUM(C19:C21)</f>
        <v>5.6</v>
      </c>
      <c r="D22" s="36" t="n">
        <f aca="false">SUM(D19:D21)</f>
        <v>7160</v>
      </c>
      <c r="E22" s="39" t="n">
        <f aca="false">SUM(E19:E21)</f>
        <v>5.784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3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9" t="s">
        <v>592</v>
      </c>
    </row>
    <row r="2" customFormat="false" ht="15" hidden="false" customHeight="false" outlineLevel="0" collapsed="false">
      <c r="A2" s="20" t="s">
        <v>593</v>
      </c>
    </row>
    <row r="4" customFormat="false" ht="15" hidden="false" customHeight="false" outlineLevel="0" collapsed="false">
      <c r="A4" s="4" t="s">
        <v>594</v>
      </c>
      <c r="D4" s="54" t="n">
        <f aca="false">Park_NPV</f>
        <v>4.09490283880634</v>
      </c>
    </row>
    <row r="6" customFormat="false" ht="15" hidden="false" customHeight="false" outlineLevel="0" collapsed="false">
      <c r="A6" s="8" t="s">
        <v>595</v>
      </c>
      <c r="B6" s="9" t="s">
        <v>596</v>
      </c>
      <c r="C6" s="9" t="s">
        <v>597</v>
      </c>
      <c r="D6" s="9" t="s">
        <v>598</v>
      </c>
      <c r="E6" s="9" t="s">
        <v>599</v>
      </c>
      <c r="F6" s="9" t="s">
        <v>600</v>
      </c>
      <c r="G6" s="9" t="s">
        <v>601</v>
      </c>
    </row>
    <row r="7" customFormat="false" ht="15" hidden="false" customHeight="false" outlineLevel="0" collapsed="false">
      <c r="A7" s="12" t="s">
        <v>602</v>
      </c>
      <c r="B7" s="25" t="n">
        <v>-0.1</v>
      </c>
      <c r="C7" s="25" t="n">
        <v>0.1</v>
      </c>
      <c r="D7" s="56" t="n">
        <f aca="false">D$4-B7*GridHD*ParkArea*(1+GM_RoutinePct*U_PVF)/10000000</f>
        <v>4.5725601710717</v>
      </c>
      <c r="E7" s="56" t="n">
        <f aca="false">D$4-C7*GridHD*ParkArea*(1+GM_RoutinePct*U_PVF)/10000000</f>
        <v>3.61724550654099</v>
      </c>
      <c r="F7" s="56" t="n">
        <f aca="false">ABS(E7-D7)</f>
        <v>0.955314664530705</v>
      </c>
      <c r="G7" s="3" t="s">
        <v>603</v>
      </c>
    </row>
    <row r="8" customFormat="false" ht="15" hidden="false" customHeight="false" outlineLevel="0" collapsed="false">
      <c r="A8" s="12" t="s">
        <v>604</v>
      </c>
      <c r="B8" s="25" t="n">
        <v>-0.5</v>
      </c>
      <c r="C8" s="25" t="n">
        <v>0.5</v>
      </c>
      <c r="D8" s="56" t="n">
        <f aca="false">D$4+B8*TrackArea*Upk_WBM/10000000</f>
        <v>1.6701501520162</v>
      </c>
      <c r="E8" s="56" t="n">
        <f aca="false">D$4+C8*TrackArea*Upk_WBM/10000000</f>
        <v>6.51965552559649</v>
      </c>
      <c r="F8" s="56" t="n">
        <f aca="false">ABS(E8-D8)</f>
        <v>4.84950537358029</v>
      </c>
      <c r="G8" s="3" t="s">
        <v>605</v>
      </c>
    </row>
    <row r="9" customFormat="false" ht="15" hidden="false" customHeight="false" outlineLevel="0" collapsed="false">
      <c r="A9" s="12" t="s">
        <v>606</v>
      </c>
      <c r="B9" s="25" t="n">
        <v>-0.5</v>
      </c>
      <c r="C9" s="25" t="n">
        <v>0.5</v>
      </c>
      <c r="D9" s="56" t="n">
        <f aca="false">D$4+B9*MainArea*Upk_BT/10000000*(MainBaseline&lt;&gt;"PQC")</f>
        <v>2.89846103449951</v>
      </c>
      <c r="E9" s="56" t="n">
        <f aca="false">D$4+C9*MainArea*Upk_BT/10000000*(MainBaseline&lt;&gt;"PQC")</f>
        <v>5.29134464311317</v>
      </c>
      <c r="F9" s="56" t="n">
        <f aca="false">ABS(E9-D9)</f>
        <v>2.39288360861366</v>
      </c>
      <c r="G9" s="3" t="s">
        <v>607</v>
      </c>
    </row>
    <row r="10" customFormat="false" ht="15" hidden="false" customHeight="false" outlineLevel="0" collapsed="false">
      <c r="A10" s="12" t="s">
        <v>608</v>
      </c>
      <c r="B10" s="25" t="n">
        <v>0.5</v>
      </c>
      <c r="C10" s="25" t="n">
        <v>-0.5</v>
      </c>
      <c r="D10" s="56" t="n">
        <f aca="false">D$4-B10*(MainArea*Upk_S1+TrackArea*Upk_S2)/10000000</f>
        <v>3.32021859725959</v>
      </c>
      <c r="E10" s="56" t="n">
        <f aca="false">D$4-C10*(MainArea*Upk_S1+TrackArea*Upk_S2)/10000000</f>
        <v>4.8695870803531</v>
      </c>
      <c r="F10" s="56" t="n">
        <f aca="false">ABS(E10-D10)</f>
        <v>1.54936848309351</v>
      </c>
      <c r="G10" s="3" t="s">
        <v>609</v>
      </c>
    </row>
    <row r="11" customFormat="false" ht="15" hidden="false" customHeight="false" outlineLevel="0" collapsed="false">
      <c r="A11" s="12" t="s">
        <v>610</v>
      </c>
      <c r="B11" s="25" t="n">
        <v>0.05</v>
      </c>
      <c r="C11" s="25" t="n">
        <v>0.3</v>
      </c>
      <c r="D11" s="56" t="n">
        <f aca="false">D$4+(B11-DustShare)*(U_Energy*EnergyValue+U_CarbEn*CarbonPrice)</f>
        <v>2.88932477577416</v>
      </c>
      <c r="E11" s="56" t="n">
        <f aca="false">D$4+(C11-DustShare)*(U_Energy*EnergyValue+U_CarbEn*CarbonPrice)</f>
        <v>5.90326993335462</v>
      </c>
      <c r="F11" s="56" t="n">
        <f aca="false">ABS(E11-D11)</f>
        <v>3.01394515758045</v>
      </c>
      <c r="G11" s="3" t="s">
        <v>611</v>
      </c>
    </row>
    <row r="12" customFormat="false" ht="15" hidden="false" customHeight="false" outlineLevel="0" collapsed="false">
      <c r="A12" s="12" t="s">
        <v>612</v>
      </c>
      <c r="B12" s="40" t="n">
        <v>2.4</v>
      </c>
      <c r="C12" s="40" t="n">
        <v>3.5</v>
      </c>
      <c r="D12" s="56" t="n">
        <f aca="false">D$4+(B12-EnergyValue)*(U_Energy*DustShare+U_Early*DaysEarly)</f>
        <v>3.93917208698258</v>
      </c>
      <c r="E12" s="56" t="n">
        <f aca="false">D$4+(C12-EnergyValue)*(U_Energy*DustShare+U_Early*DaysEarly)</f>
        <v>4.51018484366971</v>
      </c>
      <c r="F12" s="56" t="n">
        <f aca="false">ABS(E12-D12)</f>
        <v>0.571012756687136</v>
      </c>
      <c r="G12" s="3" t="s">
        <v>613</v>
      </c>
    </row>
    <row r="13" customFormat="false" ht="15" hidden="false" customHeight="false" outlineLevel="0" collapsed="false">
      <c r="A13" s="12" t="s">
        <v>614</v>
      </c>
      <c r="B13" s="27" t="n">
        <v>0</v>
      </c>
      <c r="C13" s="27" t="n">
        <v>1500</v>
      </c>
      <c r="D13" s="56" t="n">
        <f aca="false">D$4+(B13-CarbonPrice)*(U_CarbMat+U_CarbEn*DustShare)</f>
        <v>3.63531226551432</v>
      </c>
      <c r="E13" s="56" t="n">
        <f aca="false">D$4+(C13-CarbonPrice)*(U_CarbMat+U_CarbEn*DustShare)</f>
        <v>4.62014920828295</v>
      </c>
      <c r="F13" s="56" t="n">
        <f aca="false">ABS(E13-D13)</f>
        <v>0.984836942768629</v>
      </c>
      <c r="G13" s="3" t="s">
        <v>613</v>
      </c>
    </row>
    <row r="14" customFormat="false" ht="15" hidden="false" customHeight="false" outlineLevel="0" collapsed="false">
      <c r="A14" s="12" t="s">
        <v>615</v>
      </c>
      <c r="B14" s="29" t="n">
        <v>8</v>
      </c>
      <c r="C14" s="29" t="n">
        <v>12</v>
      </c>
      <c r="D14" s="56" t="n">
        <f aca="false">D$4+(B14/RoadKm-1)*(U_Road+U_CarbMat*CarbonPrice)</f>
        <v>3.63759568995473</v>
      </c>
      <c r="E14" s="56" t="n">
        <f aca="false">D$4+(C14/RoadKm-1)*(U_Road+U_CarbMat*CarbonPrice)</f>
        <v>4.55220998765796</v>
      </c>
      <c r="F14" s="56" t="n">
        <f aca="false">ABS(E14-D14)</f>
        <v>0.914614297703228</v>
      </c>
      <c r="G14" s="3" t="s">
        <v>616</v>
      </c>
    </row>
    <row r="15" customFormat="false" ht="15" hidden="false" customHeight="false" outlineLevel="0" collapsed="false">
      <c r="A15" s="12" t="s">
        <v>617</v>
      </c>
      <c r="B15" s="50" t="n">
        <v>0.08</v>
      </c>
      <c r="C15" s="50" t="n">
        <v>0.12</v>
      </c>
      <c r="D15" s="56" t="n">
        <f aca="false">Park_NPV8</f>
        <v>5.70787192590868</v>
      </c>
      <c r="E15" s="56" t="n">
        <f aca="false">Park_NPV12</f>
        <v>2.87894149522511</v>
      </c>
      <c r="F15" s="56" t="n">
        <f aca="false">ABS(E15-D15)</f>
        <v>2.82893043068357</v>
      </c>
      <c r="G15" s="3" t="s">
        <v>618</v>
      </c>
    </row>
    <row r="18" customFormat="false" ht="18" hidden="false" customHeight="true" outlineLevel="0" collapsed="false">
      <c r="A18" s="6" t="s">
        <v>619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8" t="s">
        <v>6</v>
      </c>
      <c r="B19" s="9" t="s">
        <v>55</v>
      </c>
      <c r="C19" s="9" t="s">
        <v>49</v>
      </c>
      <c r="D19" s="9" t="s">
        <v>56</v>
      </c>
      <c r="E19" s="9"/>
      <c r="F19" s="9"/>
      <c r="G19" s="9"/>
    </row>
    <row r="20" customFormat="false" ht="15" hidden="false" customHeight="false" outlineLevel="0" collapsed="false">
      <c r="A20" s="12" t="s">
        <v>610</v>
      </c>
      <c r="B20" s="64" t="n">
        <f aca="false">Inputs!$D$29</f>
        <v>0.1</v>
      </c>
      <c r="C20" s="64" t="n">
        <f aca="false">Inputs!$E$29</f>
        <v>0.15</v>
      </c>
      <c r="D20" s="64" t="n">
        <f aca="false">Inputs!$F$29</f>
        <v>0.25</v>
      </c>
    </row>
    <row r="21" customFormat="false" ht="15" hidden="false" customHeight="false" outlineLevel="0" collapsed="false">
      <c r="A21" s="12" t="s">
        <v>612</v>
      </c>
      <c r="B21" s="65" t="n">
        <f aca="false">Inputs!$D$21</f>
        <v>2.55</v>
      </c>
      <c r="C21" s="65" t="n">
        <f aca="false">Inputs!$E$21</f>
        <v>2.7</v>
      </c>
      <c r="D21" s="65" t="n">
        <f aca="false">Inputs!$F$21</f>
        <v>2.9</v>
      </c>
    </row>
    <row r="22" customFormat="false" ht="15" hidden="false" customHeight="false" outlineLevel="0" collapsed="false">
      <c r="A22" s="12" t="s">
        <v>620</v>
      </c>
      <c r="B22" s="64" t="n">
        <f aca="false">Inputs!$D$32</f>
        <v>0</v>
      </c>
      <c r="C22" s="64" t="n">
        <f aca="false">Inputs!$E$32</f>
        <v>0</v>
      </c>
      <c r="D22" s="64" t="n">
        <f aca="false">Inputs!$F$32</f>
        <v>0.05</v>
      </c>
    </row>
    <row r="23" customFormat="false" ht="15" hidden="false" customHeight="false" outlineLevel="0" collapsed="false">
      <c r="A23" s="12" t="s">
        <v>621</v>
      </c>
      <c r="B23" s="44" t="n">
        <f aca="false">Inputs!$D$33</f>
        <v>0</v>
      </c>
      <c r="C23" s="44" t="n">
        <f aca="false">Inputs!$E$33</f>
        <v>0</v>
      </c>
      <c r="D23" s="44" t="n">
        <f aca="false">Inputs!$F$33</f>
        <v>2</v>
      </c>
    </row>
    <row r="24" customFormat="false" ht="15" hidden="false" customHeight="false" outlineLevel="0" collapsed="false">
      <c r="A24" s="12" t="s">
        <v>622</v>
      </c>
      <c r="B24" s="42" t="n">
        <f aca="false">Inputs!$D$12</f>
        <v>400</v>
      </c>
      <c r="C24" s="42" t="n">
        <f aca="false">Inputs!$E$12</f>
        <v>700</v>
      </c>
      <c r="D24" s="42" t="n">
        <f aca="false">Inputs!$F$12</f>
        <v>1500</v>
      </c>
    </row>
    <row r="25" customFormat="false" ht="15" hidden="false" customHeight="false" outlineLevel="0" collapsed="false">
      <c r="A25" s="4" t="s">
        <v>623</v>
      </c>
      <c r="B25" s="54" t="n">
        <f aca="false">U_Road+U_Energy*B20*B21+U_Clean*B22+U_Early*B23*B21+U_CarbMat*B24+U_CarbEn*B20*B24</f>
        <v>3.3013490721478</v>
      </c>
      <c r="C25" s="54" t="n">
        <f aca="false">U_Road+U_Energy*C20*C21+U_Clean*C22+U_Early*C23*C21+U_CarbMat*C24+U_CarbEn*C20*C24</f>
        <v>4.09490283880634</v>
      </c>
      <c r="D25" s="54" t="n">
        <f aca="false">U_Road+U_Energy*D20*D21+U_Clean*D22+U_Early*D23*D21+U_CarbMat*D24+U_CarbEn*D20*D24</f>
        <v>7.66157237452484</v>
      </c>
    </row>
    <row r="26" customFormat="false" ht="15" hidden="false" customHeight="false" outlineLevel="0" collapsed="false">
      <c r="A26" s="12" t="s">
        <v>624</v>
      </c>
      <c r="C26" s="56" t="n">
        <f aca="false">U_Road+U_CarbMat*CarbonPrice</f>
        <v>2.28653574425807</v>
      </c>
    </row>
    <row r="28" customFormat="false" ht="15" hidden="false" customHeight="false" outlineLevel="0" collapsed="false">
      <c r="A28" s="3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25.5" hidden="false" customHeight="true" outlineLevel="0" collapsed="false">
      <c r="A1" s="19" t="s">
        <v>626</v>
      </c>
    </row>
    <row r="2" customFormat="false" ht="15" hidden="false" customHeight="false" outlineLevel="0" collapsed="false">
      <c r="A2" s="20" t="s">
        <v>627</v>
      </c>
    </row>
    <row r="4" customFormat="false" ht="15" hidden="false" customHeight="false" outlineLevel="0" collapsed="false">
      <c r="A4" s="8" t="s">
        <v>628</v>
      </c>
      <c r="B4" s="9" t="s">
        <v>629</v>
      </c>
      <c r="C4" s="9" t="s">
        <v>630</v>
      </c>
    </row>
    <row r="5" customFormat="false" ht="15" hidden="false" customHeight="false" outlineLevel="0" collapsed="false">
      <c r="A5" s="22" t="n">
        <v>1</v>
      </c>
      <c r="B5" s="12" t="s">
        <v>631</v>
      </c>
      <c r="C5" s="3" t="s">
        <v>632</v>
      </c>
    </row>
    <row r="6" customFormat="false" ht="15" hidden="false" customHeight="false" outlineLevel="0" collapsed="false">
      <c r="A6" s="22" t="n">
        <v>2</v>
      </c>
      <c r="B6" s="12" t="s">
        <v>633</v>
      </c>
      <c r="C6" s="3" t="s">
        <v>634</v>
      </c>
    </row>
    <row r="7" customFormat="false" ht="15" hidden="false" customHeight="false" outlineLevel="0" collapsed="false">
      <c r="A7" s="22" t="n">
        <v>3</v>
      </c>
      <c r="B7" s="12" t="s">
        <v>635</v>
      </c>
      <c r="C7" s="3" t="s">
        <v>636</v>
      </c>
    </row>
    <row r="8" customFormat="false" ht="15" hidden="false" customHeight="false" outlineLevel="0" collapsed="false">
      <c r="A8" s="22" t="n">
        <v>4</v>
      </c>
      <c r="B8" s="12" t="s">
        <v>637</v>
      </c>
      <c r="C8" s="3" t="s">
        <v>638</v>
      </c>
    </row>
    <row r="9" customFormat="false" ht="15" hidden="false" customHeight="false" outlineLevel="0" collapsed="false">
      <c r="A9" s="22" t="n">
        <v>5</v>
      </c>
      <c r="B9" s="12" t="s">
        <v>639</v>
      </c>
      <c r="C9" s="3" t="s">
        <v>640</v>
      </c>
    </row>
    <row r="10" customFormat="false" ht="15" hidden="false" customHeight="false" outlineLevel="0" collapsed="false">
      <c r="A10" s="22" t="n">
        <v>6</v>
      </c>
      <c r="B10" s="12" t="s">
        <v>641</v>
      </c>
      <c r="C10" s="3" t="s">
        <v>642</v>
      </c>
    </row>
    <row r="11" customFormat="false" ht="15" hidden="false" customHeight="false" outlineLevel="0" collapsed="false">
      <c r="A11" s="22" t="n">
        <v>7</v>
      </c>
      <c r="B11" s="12" t="s">
        <v>643</v>
      </c>
      <c r="C11" s="3" t="s">
        <v>644</v>
      </c>
    </row>
    <row r="12" customFormat="false" ht="15" hidden="false" customHeight="false" outlineLevel="0" collapsed="false">
      <c r="A12" s="22" t="n">
        <v>8</v>
      </c>
      <c r="B12" s="12" t="s">
        <v>645</v>
      </c>
      <c r="C12" s="3" t="s">
        <v>646</v>
      </c>
    </row>
    <row r="13" customFormat="false" ht="15" hidden="false" customHeight="false" outlineLevel="0" collapsed="false">
      <c r="A13" s="22" t="n">
        <v>9</v>
      </c>
      <c r="B13" s="12" t="s">
        <v>647</v>
      </c>
      <c r="C13" s="3" t="s">
        <v>648</v>
      </c>
    </row>
    <row r="14" customFormat="false" ht="15" hidden="false" customHeight="false" outlineLevel="0" collapsed="false">
      <c r="A14" s="22" t="n">
        <v>10</v>
      </c>
      <c r="B14" s="12" t="s">
        <v>649</v>
      </c>
      <c r="C14" s="3" t="s">
        <v>650</v>
      </c>
    </row>
    <row r="15" customFormat="false" ht="15" hidden="false" customHeight="false" outlineLevel="0" collapsed="false">
      <c r="A15" s="22" t="n">
        <v>11</v>
      </c>
      <c r="B15" s="12" t="s">
        <v>651</v>
      </c>
      <c r="C15" s="3" t="s">
        <v>652</v>
      </c>
    </row>
    <row r="16" customFormat="false" ht="15" hidden="false" customHeight="false" outlineLevel="0" collapsed="false">
      <c r="A16" s="22" t="n">
        <v>12</v>
      </c>
      <c r="B16" s="12" t="s">
        <v>653</v>
      </c>
      <c r="C16" s="3" t="s">
        <v>654</v>
      </c>
    </row>
    <row r="17" customFormat="false" ht="15" hidden="false" customHeight="false" outlineLevel="0" collapsed="false">
      <c r="A17" s="22" t="n">
        <v>13</v>
      </c>
      <c r="B17" s="12" t="s">
        <v>655</v>
      </c>
      <c r="C17" s="3" t="s">
        <v>656</v>
      </c>
    </row>
    <row r="18" customFormat="false" ht="15" hidden="false" customHeight="false" outlineLevel="0" collapsed="false">
      <c r="A18" s="22" t="n">
        <v>14</v>
      </c>
      <c r="B18" s="12" t="s">
        <v>657</v>
      </c>
      <c r="C18" s="3" t="s">
        <v>658</v>
      </c>
    </row>
    <row r="19" customFormat="false" ht="15" hidden="false" customHeight="false" outlineLevel="0" collapsed="false">
      <c r="A19" s="22" t="n">
        <v>15</v>
      </c>
      <c r="B19" s="12" t="s">
        <v>659</v>
      </c>
      <c r="C19" s="3" t="s">
        <v>660</v>
      </c>
    </row>
    <row r="20" customFormat="false" ht="15" hidden="false" customHeight="false" outlineLevel="0" collapsed="false">
      <c r="A20" s="22" t="n">
        <v>16</v>
      </c>
      <c r="B20" s="12" t="s">
        <v>661</v>
      </c>
      <c r="C20" s="3" t="s">
        <v>662</v>
      </c>
    </row>
    <row r="21" customFormat="false" ht="15" hidden="false" customHeight="false" outlineLevel="0" collapsed="false">
      <c r="A21" s="22" t="n">
        <v>17</v>
      </c>
      <c r="B21" s="12" t="s">
        <v>663</v>
      </c>
      <c r="C21" s="3" t="s">
        <v>664</v>
      </c>
    </row>
    <row r="23" customFormat="false" ht="15" hidden="false" customHeight="false" outlineLevel="0" collapsed="false">
      <c r="B23" s="3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2026-10-07T07:39:42Z</dcterms:created>
  <dc:creator>openpyxl</dc:creator>
  <dc:description/>
  <dc:language>en-US</dc:language>
  <cp:lastModifiedBy/>
  <dcterms:modified xsi:type="dcterms:W3CDTF">2026-10-07T07:39:42Z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